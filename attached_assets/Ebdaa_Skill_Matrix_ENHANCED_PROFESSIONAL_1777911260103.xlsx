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🏭 Ebdaa System" sheetId="1" state="visible" r:id="rId1"/>
    <sheet xmlns:r="http://schemas.openxmlformats.org/officeDocument/2006/relationships" name="📖 Instructions" sheetId="2" state="visible" r:id="rId2"/>
    <sheet xmlns:r="http://schemas.openxmlformats.org/officeDocument/2006/relationships" name="Master - Departments" sheetId="3" state="visible" r:id="rId3"/>
    <sheet xmlns:r="http://schemas.openxmlformats.org/officeDocument/2006/relationships" name="Master - Skills Library" sheetId="4" state="visible" r:id="rId4"/>
    <sheet xmlns:r="http://schemas.openxmlformats.org/officeDocument/2006/relationships" name="Master - Employees" sheetId="5" state="visible" r:id="rId5"/>
    <sheet xmlns:r="http://schemas.openxmlformats.org/officeDocument/2006/relationships" name="Master - Campaigns" sheetId="6" state="visible" r:id="rId6"/>
    <sheet xmlns:r="http://schemas.openxmlformats.org/officeDocument/2006/relationships" name="Upholstery - Evaluations" sheetId="7" state="visible" r:id="rId7"/>
    <sheet xmlns:r="http://schemas.openxmlformats.org/officeDocument/2006/relationships" name="Painting - Evaluations" sheetId="8" state="visible" r:id="rId8"/>
    <sheet xmlns:r="http://schemas.openxmlformats.org/officeDocument/2006/relationships" name="Natural Wood - Evaluations" sheetId="9" state="visible" r:id="rId9"/>
    <sheet xmlns:r="http://schemas.openxmlformats.org/officeDocument/2006/relationships" name="Assembly - Evaluations" sheetId="10" state="visible" r:id="rId10"/>
    <sheet xmlns:r="http://schemas.openxmlformats.org/officeDocument/2006/relationships" name="📊 Calculations" sheetId="11" state="visible" r:id="rId11"/>
    <sheet xmlns:r="http://schemas.openxmlformats.org/officeDocument/2006/relationships" name="📋 Templ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1"/>
    </font>
    <font>
      <b val="1"/>
      <color rgb="00D97706"/>
      <sz val="12"/>
    </font>
    <font>
      <b val="1"/>
      <sz val="11"/>
    </font>
    <font>
      <b val="1"/>
      <sz val="9"/>
    </font>
    <font>
      <color rgb="000563C1"/>
      <u val="single"/>
    </font>
    <font>
      <b val="1"/>
      <color rgb="000563C1"/>
      <sz val="10"/>
      <u val="single"/>
    </font>
    <font>
      <b val="1"/>
      <color rgb="00FFFFFF"/>
      <sz val="14"/>
    </font>
    <font>
      <b val="1"/>
    </font>
    <font>
      <b val="1"/>
      <color rgb="00FFFFFF"/>
      <sz val="10"/>
    </font>
    <font>
      <b val="1"/>
      <color rgb="00FFFFFF"/>
      <sz val="12"/>
    </font>
    <font>
      <i val="1"/>
      <sz val="9"/>
    </font>
    <font>
      <b val="1"/>
      <color rgb="00FFFFFF"/>
    </font>
    <font>
      <b val="1"/>
      <color rgb="00000000"/>
    </font>
    <font>
      <color rgb="00000000"/>
    </font>
    <font>
      <color rgb="00FFFFFF"/>
    </font>
    <font>
      <b val="1"/>
      <color rgb="009333EA"/>
      <sz val="11"/>
    </font>
    <font>
      <b val="1"/>
      <color rgb="00666666"/>
      <sz val="8"/>
    </font>
  </fonts>
  <fills count="1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  <fill>
      <patternFill patternType="solid">
        <fgColor rgb="00D97706"/>
        <bgColor rgb="00D97706"/>
      </patternFill>
    </fill>
    <fill>
      <patternFill patternType="solid">
        <fgColor rgb="000369A1"/>
        <bgColor rgb="000369A1"/>
      </patternFill>
    </fill>
    <fill>
      <patternFill patternType="solid">
        <fgColor rgb="006366F1"/>
        <bgColor rgb="006366F1"/>
      </patternFill>
    </fill>
    <fill>
      <patternFill patternType="solid">
        <fgColor rgb="0010B981"/>
        <bgColor rgb="0010B981"/>
      </patternFill>
    </fill>
    <fill>
      <patternFill patternType="solid">
        <fgColor rgb="0084CC16"/>
        <bgColor rgb="0084CC16"/>
      </patternFill>
    </fill>
    <fill>
      <patternFill patternType="solid">
        <fgColor rgb="0086EFAC"/>
        <bgColor rgb="0086EFAC"/>
      </patternFill>
    </fill>
    <fill>
      <patternFill patternType="solid">
        <fgColor rgb="00FBBF24"/>
        <bgColor rgb="00FBBF24"/>
      </patternFill>
    </fill>
    <fill>
      <patternFill patternType="solid">
        <fgColor rgb="00FB923C"/>
        <bgColor rgb="00FB923C"/>
      </patternFill>
    </fill>
    <fill>
      <patternFill patternType="solid">
        <fgColor rgb="00EF4444"/>
        <bgColor rgb="00EF4444"/>
      </patternFill>
    </fill>
    <fill>
      <patternFill patternType="solid">
        <fgColor rgb="00EC4899"/>
        <bgColor rgb="00EC4899"/>
      </patternFill>
    </fill>
    <fill>
      <patternFill patternType="solid">
        <fgColor rgb="00F87171"/>
        <bgColor rgb="00F87171"/>
      </patternFill>
    </fill>
    <fill>
      <patternFill patternType="solid">
        <fgColor rgb="00818CF8"/>
        <bgColor rgb="00818CF8"/>
      </patternFill>
    </fill>
    <fill>
      <patternFill patternType="solid">
        <fgColor rgb="009333EA"/>
        <bgColor rgb="00933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8" fillId="0" borderId="0" pivotButton="0" quotePrefix="0" xfId="0"/>
    <xf numFmtId="0" fontId="6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1" fillId="7" borderId="0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center"/>
    </xf>
    <xf numFmtId="0" fontId="14" fillId="9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3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15" fillId="11" borderId="0" applyAlignment="1" pivotButton="0" quotePrefix="0" xfId="0">
      <alignment horizontal="center"/>
    </xf>
    <xf numFmtId="0" fontId="16" fillId="12" borderId="0" applyAlignment="1" pivotButton="0" quotePrefix="0" xfId="0">
      <alignment horizontal="center"/>
    </xf>
    <xf numFmtId="0" fontId="16" fillId="13" borderId="0" applyAlignment="1" pivotButton="0" quotePrefix="0" xfId="0">
      <alignment horizontal="center"/>
    </xf>
    <xf numFmtId="0" fontId="11" fillId="14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11" fillId="15" borderId="0" pivotButton="0" quotePrefix="0" xfId="0"/>
    <xf numFmtId="0" fontId="10" fillId="15" borderId="0" applyAlignment="1" pivotButton="0" quotePrefix="0" xfId="0">
      <alignment horizontal="center" vertical="center" wrapText="1"/>
    </xf>
    <xf numFmtId="0" fontId="11" fillId="16" borderId="0" pivotButton="0" quotePrefix="0" xfId="0"/>
    <xf numFmtId="0" fontId="10" fillId="16" borderId="0" applyAlignment="1" pivotButton="0" quotePrefix="0" xfId="0">
      <alignment horizontal="center" vertical="center" wrapText="1"/>
    </xf>
    <xf numFmtId="0" fontId="11" fillId="17" borderId="0" pivotButton="0" quotePrefix="0" xfId="0"/>
    <xf numFmtId="0" fontId="17" fillId="0" borderId="0" pivotButton="0" quotePrefix="0" xfId="0"/>
    <xf numFmtId="0" fontId="13" fillId="8" borderId="0" pivotButton="0" quotePrefix="0" xfId="0"/>
    <xf numFmtId="0" fontId="13" fillId="11" borderId="0" pivotButton="0" quotePrefix="0" xfId="0"/>
    <xf numFmtId="0" fontId="13" fillId="13" borderId="0" pivotButton="0" quotePrefix="0" xfId="0"/>
    <xf numFmtId="0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sserious.com" TargetMode="External" Id="rId1"/><Relationship Type="http://schemas.openxmlformats.org/officeDocument/2006/relationships/hyperlink" Target="https://yasserious.co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yasserious.com" TargetMode="External" Id="rId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EBDAA SKILL MATRIX SYSTEM</t>
        </is>
      </c>
    </row>
    <row r="2">
      <c r="A2" s="2" t="inlineStr">
        <is>
          <t>Comprehensive Employee Skill Management Platform</t>
        </is>
      </c>
    </row>
    <row r="4">
      <c r="A4" s="3" t="inlineStr">
        <is>
          <t>VERSION 2.0 - PROFESSIONAL EDITION</t>
        </is>
      </c>
    </row>
    <row r="6">
      <c r="A6" s="4" t="inlineStr">
        <is>
          <t>📋 Document Information</t>
        </is>
      </c>
    </row>
    <row r="7">
      <c r="A7" t="inlineStr">
        <is>
          <t>Created: May 03, 2026</t>
        </is>
      </c>
    </row>
    <row r="8">
      <c r="A8" t="inlineStr">
        <is>
          <t>Purpose: Blueprint for web system migration &amp; employee evaluation</t>
        </is>
      </c>
    </row>
    <row r="9">
      <c r="A9" t="inlineStr">
        <is>
          <t>Scope: 146+ employees across 9 departments</t>
        </is>
      </c>
    </row>
    <row r="10">
      <c r="A10" t="inlineStr">
        <is>
          <t>Scale: ~65 skills with weighted scoring (0-4)</t>
        </is>
      </c>
    </row>
    <row r="12">
      <c r="A12" s="4" t="inlineStr">
        <is>
          <t>🎯 System Features</t>
        </is>
      </c>
    </row>
    <row r="13">
      <c r="A13" t="inlineStr">
        <is>
          <t>✅ Real-time skill tracking with automatic scoring</t>
        </is>
      </c>
    </row>
    <row r="14">
      <c r="A14" t="inlineStr">
        <is>
          <t>✅ Weighted evaluation system (0-4 scale)</t>
        </is>
      </c>
    </row>
    <row r="15">
      <c r="A15" t="inlineStr">
        <is>
          <t>✅ Automated performance classification (A/B/C)</t>
        </is>
      </c>
    </row>
    <row r="16">
      <c r="A16" t="inlineStr">
        <is>
          <t>✅ Department-specific skill matrices</t>
        </is>
      </c>
    </row>
    <row r="17">
      <c r="A17" t="inlineStr">
        <is>
          <t>✅ Training recommendations engine</t>
        </is>
      </c>
    </row>
    <row r="18">
      <c r="A18" t="inlineStr">
        <is>
          <t>✅ Excel data import/export capabilities</t>
        </is>
      </c>
    </row>
    <row r="19">
      <c r="A19" t="inlineStr">
        <is>
          <t>✅ Multi-role access control (Admin, Managers, HR, Employees)</t>
        </is>
      </c>
    </row>
    <row r="20">
      <c r="A20" t="inlineStr">
        <is>
          <t>✅ Historical evaluation tracking &amp; trends</t>
        </is>
      </c>
    </row>
    <row r="21">
      <c r="A21" t="inlineStr">
        <is>
          <t>✅ Comprehensive analytics &amp; reporting</t>
        </is>
      </c>
    </row>
    <row r="22">
      <c r="A22" t="inlineStr">
        <is>
          <t>✅ Audit trail &amp; compliance logging</t>
        </is>
      </c>
    </row>
    <row r="25">
      <c r="A25" s="4" t="inlineStr">
        <is>
          <t>📊 Key Metrics</t>
        </is>
      </c>
    </row>
    <row r="26">
      <c r="A26" t="inlineStr">
        <is>
          <t>Total Employees: 146</t>
        </is>
      </c>
    </row>
    <row r="27">
      <c r="A27" t="inlineStr">
        <is>
          <t>Active Departments: 9</t>
        </is>
      </c>
    </row>
    <row r="28">
      <c r="A28" t="inlineStr">
        <is>
          <t>Total Skills: ~65</t>
        </is>
      </c>
    </row>
    <row r="29">
      <c r="A29" t="inlineStr">
        <is>
          <t>Evaluation Types: Monthly, Quarterly, Bi-Annual</t>
        </is>
      </c>
    </row>
    <row r="31">
      <c r="A31" s="4" t="inlineStr">
        <is>
          <t>🔗 Quick Navigation</t>
        </is>
      </c>
    </row>
    <row r="32">
      <c r="A32" t="inlineStr">
        <is>
          <t>Use the sheet tabs at the bottom to navigate:</t>
        </is>
      </c>
    </row>
    <row r="33">
      <c r="A33" t="inlineStr">
        <is>
          <t>1. Master Data → Employee &amp; skill databases</t>
        </is>
      </c>
    </row>
    <row r="34">
      <c r="A34" t="inlineStr">
        <is>
          <t>2. Department Evaluations → Interactive evaluation forms</t>
        </is>
      </c>
    </row>
    <row r="35">
      <c r="A35" t="inlineStr">
        <is>
          <t>3. Calculations → Scoring formulas &amp; examples</t>
        </is>
      </c>
    </row>
    <row r="36">
      <c r="A36" t="inlineStr">
        <is>
          <t>4. Templates → Blank forms for new departments</t>
        </is>
      </c>
    </row>
    <row r="39">
      <c r="A39" s="5" t="inlineStr">
        <is>
          <t>Enhanced by</t>
        </is>
      </c>
      <c r="B39" s="6" t="inlineStr">
        <is>
          <t>yasserious.com</t>
        </is>
      </c>
    </row>
    <row r="42">
      <c r="A42" s="7" t="inlineStr">
        <is>
          <t>Enhanced by</t>
        </is>
      </c>
      <c r="B42" s="8" t="inlineStr">
        <is>
          <t>yasserious.com</t>
        </is>
      </c>
    </row>
  </sheetData>
  <mergeCells count="3">
    <mergeCell ref="A2:G2"/>
    <mergeCell ref="A1:G1"/>
    <mergeCell ref="A4:G4"/>
  </mergeCells>
  <hyperlinks>
    <hyperlink xmlns:r="http://schemas.openxmlformats.org/officeDocument/2006/relationships" ref="B39" r:id="rId1"/>
    <hyperlink xmlns:r="http://schemas.openxmlformats.org/officeDocument/2006/relationships" ref="B4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F2CC"/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9" t="inlineStr">
        <is>
          <t>COMPLETE SYSTEM GUIDE</t>
        </is>
      </c>
    </row>
    <row r="3">
      <c r="A3" s="4" t="inlineStr">
        <is>
          <t>Purpose &amp; Overview</t>
        </is>
      </c>
    </row>
    <row r="4">
      <c r="A4" t="inlineStr">
        <is>
          <t>This enhanced template is designed as a complete blueprint for Ebdaa's digital transformation. It includes master data management, interactive evaluation forms, automated calculations, and comprehensive documentation.</t>
        </is>
      </c>
    </row>
    <row r="6">
      <c r="A6" s="4" t="inlineStr">
        <is>
          <t>Sheet Structure</t>
        </is>
      </c>
    </row>
    <row r="7">
      <c r="A7" t="inlineStr">
        <is>
          <t>• 🏭 Ebdaa System: Main overview &amp; system information</t>
        </is>
      </c>
    </row>
    <row r="8">
      <c r="A8" t="inlineStr">
        <is>
          <t>• 📖 Instructions: This guide (what you're reading)</t>
        </is>
      </c>
    </row>
    <row r="9">
      <c r="A9" t="inlineStr">
        <is>
          <t>• Master - Departments: 9 departments with managers &amp; contact info</t>
        </is>
      </c>
    </row>
    <row r="10">
      <c r="A10" t="inlineStr">
        <is>
          <t>• Master - Skills Library: ~65 skills organized by department &amp; weight</t>
        </is>
      </c>
    </row>
    <row r="11">
      <c r="A11" t="inlineStr">
        <is>
          <t>• Master - Employees: 146 employees with roles &amp; departments</t>
        </is>
      </c>
    </row>
    <row r="12">
      <c r="A12" t="inlineStr">
        <is>
          <t>• Master - Campaigns: Evaluation campaigns (Monthly/Quarterly/Bi-Annual)</t>
        </is>
      </c>
    </row>
    <row r="13">
      <c r="A13" t="inlineStr">
        <is>
          <t>• Upholstery - Evaluations: Interactive skill matrix with live formulas</t>
        </is>
      </c>
    </row>
    <row r="14">
      <c r="A14" t="inlineStr">
        <is>
          <t>• Painting - Evaluations: Department-specific evaluation template</t>
        </is>
      </c>
    </row>
    <row r="15">
      <c r="A15" t="inlineStr">
        <is>
          <t>• Natural Wood - Evaluations: Department-specific evaluation template</t>
        </is>
      </c>
    </row>
    <row r="16">
      <c r="A16" t="inlineStr">
        <is>
          <t>• Assembly - Evaluations: Department-specific evaluation template</t>
        </is>
      </c>
    </row>
    <row r="17">
      <c r="A17" t="inlineStr">
        <is>
          <t>• 📊 Calculations: Scoring methodology &amp; examples</t>
        </is>
      </c>
    </row>
    <row r="18">
      <c r="A18" t="inlineStr">
        <is>
          <t>• 📋 Templates: Blank evaluation form to copy for new departments</t>
        </is>
      </c>
    </row>
    <row r="20">
      <c r="A20" s="4" t="inlineStr">
        <is>
          <t>Evaluation Scale (0-4)</t>
        </is>
      </c>
    </row>
    <row r="21">
      <c r="A21" s="10" t="inlineStr">
        <is>
          <t>0 = Cannot perform / Not trained</t>
        </is>
      </c>
    </row>
    <row r="22">
      <c r="A22" s="10" t="inlineStr">
        <is>
          <t>1 = Can perform with constant supervision</t>
        </is>
      </c>
    </row>
    <row r="23">
      <c r="A23" s="10" t="inlineStr">
        <is>
          <t>2 = Can perform with occasional supervision</t>
        </is>
      </c>
    </row>
    <row r="24">
      <c r="A24" s="10" t="inlineStr">
        <is>
          <t>3 = Can perform independently</t>
        </is>
      </c>
    </row>
    <row r="25">
      <c r="A25" s="10" t="inlineStr">
        <is>
          <t>4 = Expert / Can train others</t>
        </is>
      </c>
    </row>
    <row r="28">
      <c r="A28" s="4" t="inlineStr">
        <is>
          <t>Performance Classification</t>
        </is>
      </c>
    </row>
    <row r="29">
      <c r="A29" t="inlineStr">
        <is>
          <t>Class A (80-100%) → Promotion Ready | Class B (60-79%) → Training Needed | Class C (&lt;60%) → Intensive Training</t>
        </is>
      </c>
    </row>
    <row r="31">
      <c r="A31" s="4" t="inlineStr">
        <is>
          <t>How to Use This Template</t>
        </is>
      </c>
    </row>
    <row r="32">
      <c r="A32" t="inlineStr">
        <is>
          <t>1. Review Master Data sheets (Depts, Skills, Employees, Campaigns)</t>
        </is>
      </c>
    </row>
    <row r="33">
      <c r="A33" t="inlineStr">
        <is>
          <t>2. Examine sample evaluation forms (Upholstery, Painting examples)</t>
        </is>
      </c>
    </row>
    <row r="34">
      <c r="A34" t="inlineStr">
        <is>
          <t>3. Understand the formula logic in Calculations sheet</t>
        </is>
      </c>
    </row>
    <row r="35">
      <c r="A35" t="inlineStr">
        <is>
          <t>4. Copy the blank template for additional departments</t>
        </is>
      </c>
    </row>
    <row r="36">
      <c r="A36" t="inlineStr">
        <is>
          <t>5. Fill in employee scores (0-4) for each skill</t>
        </is>
      </c>
    </row>
    <row r="37">
      <c r="A37" t="inlineStr">
        <is>
          <t>6. Observe automatic calculations (Total, Max, Percentage, Class)</t>
        </is>
      </c>
    </row>
    <row r="38">
      <c r="A38" t="inlineStr">
        <is>
          <t>7. Export results &amp; use for training recommendations</t>
        </is>
      </c>
    </row>
    <row r="39">
      <c r="A39" t="inlineStr">
        <is>
          <t>8. Upload final data to web system when ready</t>
        </is>
      </c>
    </row>
    <row r="42">
      <c r="A42" s="4" t="inlineStr">
        <is>
          <t>💡 Pro Tips</t>
        </is>
      </c>
    </row>
    <row r="43">
      <c r="A43" t="inlineStr">
        <is>
          <t>• Use the color coding to quickly spot weak areas (Red/Orange)</t>
        </is>
      </c>
    </row>
    <row r="44">
      <c r="A44" t="inlineStr">
        <is>
          <t>• Check Class assignments for training priority</t>
        </is>
      </c>
    </row>
    <row r="45">
      <c r="A45" t="inlineStr">
        <is>
          <t>• Review historical campaigns to track improvement</t>
        </is>
      </c>
    </row>
    <row r="46">
      <c r="A46" t="inlineStr">
        <is>
          <t>• Use 'Templates' sheet to quickly add new departments</t>
        </is>
      </c>
    </row>
    <row r="47">
      <c r="A47" t="inlineStr">
        <is>
          <t>• Keep department managers' evaluations consistent</t>
        </is>
      </c>
    </row>
    <row r="50">
      <c r="A50" s="7" t="inlineStr">
        <is>
          <t>Enhanced by</t>
        </is>
      </c>
      <c r="B50" s="8" t="inlineStr">
        <is>
          <t>yasserious.com</t>
        </is>
      </c>
    </row>
  </sheetData>
  <mergeCells count="1">
    <mergeCell ref="A1:D1"/>
  </mergeCells>
  <hyperlinks>
    <hyperlink xmlns:r="http://schemas.openxmlformats.org/officeDocument/2006/relationships" ref="B5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F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1" t="inlineStr">
        <is>
          <t>Department ID</t>
        </is>
      </c>
      <c r="B1" s="11" t="inlineStr">
        <is>
          <t>Department Name</t>
        </is>
      </c>
      <c r="C1" s="11" t="inlineStr">
        <is>
          <t>Manager Name</t>
        </is>
      </c>
      <c r="D1" s="11" t="inlineStr">
        <is>
          <t>Manager Email</t>
        </is>
      </c>
      <c r="E1" s="11" t="inlineStr">
        <is>
          <t>Phone</t>
        </is>
      </c>
      <c r="F1" s="11" t="inlineStr">
        <is>
          <t>Created Date</t>
        </is>
      </c>
      <c r="G1" s="11" t="inlineStr">
        <is>
          <t>Active</t>
        </is>
      </c>
    </row>
    <row r="2">
      <c r="A2" t="inlineStr">
        <is>
          <t>DEPT001</t>
        </is>
      </c>
      <c r="B2" t="inlineStr">
        <is>
          <t>Solid Wood Factory</t>
        </is>
      </c>
      <c r="C2" t="inlineStr">
        <is>
          <t>Ahmed Shaker</t>
        </is>
      </c>
      <c r="D2" t="inlineStr">
        <is>
          <t>ahmed.shaker@ebdaa.com</t>
        </is>
      </c>
      <c r="E2" t="inlineStr">
        <is>
          <t>+20-XXX-XXXX</t>
        </is>
      </c>
      <c r="F2" t="inlineStr">
        <is>
          <t>2021-01-15</t>
        </is>
      </c>
      <c r="G2" t="inlineStr">
        <is>
          <t>Yes</t>
        </is>
      </c>
    </row>
    <row r="3">
      <c r="A3" t="inlineStr">
        <is>
          <t>DEPT002</t>
        </is>
      </c>
      <c r="B3" t="inlineStr">
        <is>
          <t>Industrial Wood Factory</t>
        </is>
      </c>
      <c r="C3" t="inlineStr">
        <is>
          <t>Mohammed Ali</t>
        </is>
      </c>
      <c r="D3" t="inlineStr">
        <is>
          <t>m.ali@ebdaa.com</t>
        </is>
      </c>
      <c r="E3" t="inlineStr">
        <is>
          <t>+20-XXX-XXXX</t>
        </is>
      </c>
      <c r="F3" t="inlineStr">
        <is>
          <t>2021-01-15</t>
        </is>
      </c>
      <c r="G3" t="inlineStr">
        <is>
          <t>Yes</t>
        </is>
      </c>
    </row>
    <row r="4">
      <c r="A4" t="inlineStr">
        <is>
          <t>DEPT003</t>
        </is>
      </c>
      <c r="B4" t="inlineStr">
        <is>
          <t>Flat Surfaces (المسطحات)</t>
        </is>
      </c>
      <c r="C4" t="inlineStr">
        <is>
          <t>Fatma Hassan</t>
        </is>
      </c>
      <c r="D4" t="inlineStr">
        <is>
          <t>f.hassan@ebdaa.com</t>
        </is>
      </c>
      <c r="E4" t="inlineStr">
        <is>
          <t>+20-XXX-XXXX</t>
        </is>
      </c>
      <c r="F4" t="inlineStr">
        <is>
          <t>2021-02-20</t>
        </is>
      </c>
      <c r="G4" t="inlineStr">
        <is>
          <t>Yes</t>
        </is>
      </c>
    </row>
    <row r="5">
      <c r="A5" t="inlineStr">
        <is>
          <t>DEPT004</t>
        </is>
      </c>
      <c r="B5" t="inlineStr">
        <is>
          <t>Assembly (التجميع)</t>
        </is>
      </c>
      <c r="C5" t="inlineStr">
        <is>
          <t>Hassan Ibrahim</t>
        </is>
      </c>
      <c r="D5" t="inlineStr">
        <is>
          <t>h.ibrahim@ebdaa.com</t>
        </is>
      </c>
      <c r="E5" t="inlineStr">
        <is>
          <t>+20-XXX-XXXX</t>
        </is>
      </c>
      <c r="F5" t="inlineStr">
        <is>
          <t>2021-03-10</t>
        </is>
      </c>
      <c r="G5" t="inlineStr">
        <is>
          <t>Yes</t>
        </is>
      </c>
    </row>
    <row r="6">
      <c r="A6" t="inlineStr">
        <is>
          <t>DEPT005</t>
        </is>
      </c>
      <c r="B6" t="inlineStr">
        <is>
          <t>Natural Wood Sanding</t>
        </is>
      </c>
      <c r="C6" t="inlineStr">
        <is>
          <t>Khaled Yousef</t>
        </is>
      </c>
      <c r="D6" t="inlineStr">
        <is>
          <t>k.yousef@ebdaa.com</t>
        </is>
      </c>
      <c r="E6" t="inlineStr">
        <is>
          <t>+20-XXX-XXXX</t>
        </is>
      </c>
      <c r="F6" t="inlineStr">
        <is>
          <t>2021-03-15</t>
        </is>
      </c>
      <c r="G6" t="inlineStr">
        <is>
          <t>Yes</t>
        </is>
      </c>
    </row>
    <row r="7">
      <c r="A7" t="inlineStr">
        <is>
          <t>DEPT006</t>
        </is>
      </c>
      <c r="B7" t="inlineStr">
        <is>
          <t>Upholstery (التنجيد)</t>
        </is>
      </c>
      <c r="C7" t="inlineStr">
        <is>
          <t>Salma Mohamed</t>
        </is>
      </c>
      <c r="D7" t="inlineStr">
        <is>
          <t>s.mohamed@ebdaa.com</t>
        </is>
      </c>
      <c r="E7" t="inlineStr">
        <is>
          <t>+20-XXX-XXXX</t>
        </is>
      </c>
      <c r="F7" t="inlineStr">
        <is>
          <t>2021-04-01</t>
        </is>
      </c>
      <c r="G7" t="inlineStr">
        <is>
          <t>Yes</t>
        </is>
      </c>
    </row>
    <row r="8">
      <c r="A8" t="inlineStr">
        <is>
          <t>DEPT007</t>
        </is>
      </c>
      <c r="B8" t="inlineStr">
        <is>
          <t>Painting (الدهانات)</t>
        </is>
      </c>
      <c r="C8" t="inlineStr">
        <is>
          <t>Omar Hassan</t>
        </is>
      </c>
      <c r="D8" t="inlineStr">
        <is>
          <t>o.hassan@ebdaa.com</t>
        </is>
      </c>
      <c r="E8" t="inlineStr">
        <is>
          <t>+20-XXX-XXXX</t>
        </is>
      </c>
      <c r="F8" t="inlineStr">
        <is>
          <t>2021-04-10</t>
        </is>
      </c>
      <c r="G8" t="inlineStr">
        <is>
          <t>Yes</t>
        </is>
      </c>
    </row>
    <row r="9">
      <c r="A9" t="inlineStr">
        <is>
          <t>DEPT008</t>
        </is>
      </c>
      <c r="B9" t="inlineStr">
        <is>
          <t>Engineering</t>
        </is>
      </c>
      <c r="C9" t="inlineStr">
        <is>
          <t>Dr. Amr Fathy</t>
        </is>
      </c>
      <c r="D9" t="inlineStr">
        <is>
          <t>amr.fathy@ebdaa.com</t>
        </is>
      </c>
      <c r="E9" t="inlineStr">
        <is>
          <t>+20-XXX-XXXX</t>
        </is>
      </c>
      <c r="F9" t="inlineStr">
        <is>
          <t>2021-05-01</t>
        </is>
      </c>
      <c r="G9" t="inlineStr">
        <is>
          <t>Yes</t>
        </is>
      </c>
    </row>
    <row r="10">
      <c r="A10" t="inlineStr">
        <is>
          <t>DEPT009</t>
        </is>
      </c>
      <c r="B10" t="inlineStr">
        <is>
          <t>Production Management</t>
        </is>
      </c>
      <c r="C10" t="inlineStr">
        <is>
          <t>Hisham Ahmed</t>
        </is>
      </c>
      <c r="D10" t="inlineStr">
        <is>
          <t>h.ahmed@ebdaa.com</t>
        </is>
      </c>
      <c r="E10" t="inlineStr">
        <is>
          <t>+20-XXX-XXXX</t>
        </is>
      </c>
      <c r="F10" t="inlineStr">
        <is>
          <t>2021-05-15</t>
        </is>
      </c>
      <c r="G10" t="inlineStr">
        <is>
          <t>Yes</t>
        </is>
      </c>
    </row>
    <row r="13">
      <c r="A13" s="7" t="inlineStr">
        <is>
          <t>Enhanced by</t>
        </is>
      </c>
      <c r="B13" s="8" t="inlineStr">
        <is>
          <t>yasserious.com</t>
        </is>
      </c>
    </row>
  </sheetData>
  <hyperlinks>
    <hyperlink xmlns:r="http://schemas.openxmlformats.org/officeDocument/2006/relationships" ref="B1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E7FF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2" t="inlineStr">
        <is>
          <t>Skill ID</t>
        </is>
      </c>
      <c r="B1" s="12" t="inlineStr">
        <is>
          <t>Skill Name</t>
        </is>
      </c>
      <c r="C1" s="12" t="inlineStr">
        <is>
          <t>Department</t>
        </is>
      </c>
      <c r="D1" s="12" t="inlineStr">
        <is>
          <t>Category</t>
        </is>
      </c>
      <c r="E1" s="12" t="inlineStr">
        <is>
          <t>Weight</t>
        </is>
      </c>
      <c r="F1" s="12" t="inlineStr">
        <is>
          <t>Criticality</t>
        </is>
      </c>
      <c r="G1" s="12" t="inlineStr">
        <is>
          <t>Description</t>
        </is>
      </c>
    </row>
    <row r="2">
      <c r="A2" t="inlineStr">
        <is>
          <t>SK001</t>
        </is>
      </c>
      <c r="B2" t="inlineStr">
        <is>
          <t>Product Assembly</t>
        </is>
      </c>
      <c r="C2" t="inlineStr">
        <is>
          <t>Upholstery</t>
        </is>
      </c>
      <c r="D2" t="inlineStr">
        <is>
          <t>Core</t>
        </is>
      </c>
      <c r="E2" t="n">
        <v>4</v>
      </c>
      <c r="F2" t="inlineStr">
        <is>
          <t>Critical</t>
        </is>
      </c>
      <c r="G2" t="inlineStr">
        <is>
          <t>Assembling furniture components</t>
        </is>
      </c>
    </row>
    <row r="3">
      <c r="A3" t="inlineStr">
        <is>
          <t>SK002</t>
        </is>
      </c>
      <c r="B3" t="inlineStr">
        <is>
          <t>Seam Work</t>
        </is>
      </c>
      <c r="C3" t="inlineStr">
        <is>
          <t>Upholstery</t>
        </is>
      </c>
      <c r="D3" t="inlineStr">
        <is>
          <t>Core</t>
        </is>
      </c>
      <c r="E3" t="n">
        <v>4</v>
      </c>
      <c r="F3" t="inlineStr">
        <is>
          <t>Critical</t>
        </is>
      </c>
      <c r="G3" t="inlineStr">
        <is>
          <t>Creating professional seams</t>
        </is>
      </c>
    </row>
    <row r="4">
      <c r="A4" t="inlineStr">
        <is>
          <t>SK003</t>
        </is>
      </c>
      <c r="B4" t="inlineStr">
        <is>
          <t>Sewing Machines (2-needle)</t>
        </is>
      </c>
      <c r="C4" t="inlineStr">
        <is>
          <t>Upholstery</t>
        </is>
      </c>
      <c r="D4" t="inlineStr">
        <is>
          <t>Technical</t>
        </is>
      </c>
      <c r="E4" t="n">
        <v>3</v>
      </c>
      <c r="F4" t="inlineStr">
        <is>
          <t>High</t>
        </is>
      </c>
      <c r="G4" t="inlineStr">
        <is>
          <t>Operating 2-needle sewing machines</t>
        </is>
      </c>
    </row>
    <row r="5">
      <c r="A5" t="inlineStr">
        <is>
          <t>SK004</t>
        </is>
      </c>
      <c r="B5" t="inlineStr">
        <is>
          <t>Sofa Spring Attachment</t>
        </is>
      </c>
      <c r="C5" t="inlineStr">
        <is>
          <t>Upholstery</t>
        </is>
      </c>
      <c r="D5" t="inlineStr">
        <is>
          <t>Technical</t>
        </is>
      </c>
      <c r="E5" t="n">
        <v>3</v>
      </c>
      <c r="F5" t="inlineStr">
        <is>
          <t>High</t>
        </is>
      </c>
      <c r="G5" t="inlineStr">
        <is>
          <t>Attaching springs to sofas</t>
        </is>
      </c>
    </row>
    <row r="6">
      <c r="A6" t="inlineStr">
        <is>
          <t>SK005</t>
        </is>
      </c>
      <c r="B6" t="inlineStr">
        <is>
          <t>Product Finishing</t>
        </is>
      </c>
      <c r="C6" t="inlineStr">
        <is>
          <t>Upholstery</t>
        </is>
      </c>
      <c r="D6" t="inlineStr">
        <is>
          <t>Core</t>
        </is>
      </c>
      <c r="E6" t="n">
        <v>4</v>
      </c>
      <c r="F6" t="inlineStr">
        <is>
          <t>Critical</t>
        </is>
      </c>
      <c r="G6" t="inlineStr">
        <is>
          <t>Final touches &amp; quality control</t>
        </is>
      </c>
    </row>
    <row r="7">
      <c r="A7" t="inlineStr">
        <is>
          <t>SK006</t>
        </is>
      </c>
      <c r="B7" t="inlineStr">
        <is>
          <t>Shimmer Sewing</t>
        </is>
      </c>
      <c r="C7" t="inlineStr">
        <is>
          <t>Upholstery</t>
        </is>
      </c>
      <c r="D7" t="inlineStr">
        <is>
          <t>Specialized</t>
        </is>
      </c>
      <c r="E7" t="n">
        <v>2</v>
      </c>
      <c r="F7" t="inlineStr">
        <is>
          <t>Medium</t>
        </is>
      </c>
      <c r="G7" t="inlineStr">
        <is>
          <t>Decorative shimmer stitching</t>
        </is>
      </c>
    </row>
    <row r="8">
      <c r="A8" t="inlineStr">
        <is>
          <t>SK010</t>
        </is>
      </c>
      <c r="B8" t="inlineStr">
        <is>
          <t>Veneer Work</t>
        </is>
      </c>
      <c r="C8" t="inlineStr">
        <is>
          <t>Natural Wood</t>
        </is>
      </c>
      <c r="D8" t="inlineStr">
        <is>
          <t>Core</t>
        </is>
      </c>
      <c r="E8" t="n">
        <v>4</v>
      </c>
      <c r="F8" t="inlineStr">
        <is>
          <t>Critical</t>
        </is>
      </c>
      <c r="G8" t="inlineStr">
        <is>
          <t>Applying veneer sheets</t>
        </is>
      </c>
    </row>
    <row r="9">
      <c r="A9" t="inlineStr">
        <is>
          <t>SK011</t>
        </is>
      </c>
      <c r="B9" t="inlineStr">
        <is>
          <t>Sanding (Wheel)</t>
        </is>
      </c>
      <c r="C9" t="inlineStr">
        <is>
          <t>Natural Wood</t>
        </is>
      </c>
      <c r="D9" t="inlineStr">
        <is>
          <t>Technical</t>
        </is>
      </c>
      <c r="E9" t="n">
        <v>4</v>
      </c>
      <c r="F9" t="inlineStr">
        <is>
          <t>Critical</t>
        </is>
      </c>
      <c r="G9" t="inlineStr">
        <is>
          <t>Using wheel sanders for large surfaces</t>
        </is>
      </c>
    </row>
    <row r="10">
      <c r="A10" t="inlineStr">
        <is>
          <t>SK012</t>
        </is>
      </c>
      <c r="B10" t="inlineStr">
        <is>
          <t>Sanding (Manual)</t>
        </is>
      </c>
      <c r="C10" t="inlineStr">
        <is>
          <t>Natural Wood</t>
        </is>
      </c>
      <c r="D10" t="inlineStr">
        <is>
          <t>Technical</t>
        </is>
      </c>
      <c r="E10" t="n">
        <v>3</v>
      </c>
      <c r="F10" t="inlineStr">
        <is>
          <t>High</t>
        </is>
      </c>
      <c r="G10" t="inlineStr">
        <is>
          <t>Hand sanding for detail work</t>
        </is>
      </c>
    </row>
    <row r="11">
      <c r="A11" t="inlineStr">
        <is>
          <t>SK013</t>
        </is>
      </c>
      <c r="B11" t="inlineStr">
        <is>
          <t>Press Operation</t>
        </is>
      </c>
      <c r="C11" t="inlineStr">
        <is>
          <t>Natural Wood</t>
        </is>
      </c>
      <c r="D11" t="inlineStr">
        <is>
          <t>Technical</t>
        </is>
      </c>
      <c r="E11" t="n">
        <v>3</v>
      </c>
      <c r="F11" t="inlineStr">
        <is>
          <t>High</t>
        </is>
      </c>
      <c r="G11" t="inlineStr">
        <is>
          <t>Operating hydraulic presses</t>
        </is>
      </c>
    </row>
    <row r="12">
      <c r="A12" t="inlineStr">
        <is>
          <t>SK020</t>
        </is>
      </c>
      <c r="B12" t="inlineStr">
        <is>
          <t>Sanding Preparation</t>
        </is>
      </c>
      <c r="C12" t="inlineStr">
        <is>
          <t>Painting</t>
        </is>
      </c>
      <c r="D12" t="inlineStr">
        <is>
          <t>Core</t>
        </is>
      </c>
      <c r="E12" t="n">
        <v>4</v>
      </c>
      <c r="F12" t="inlineStr">
        <is>
          <t>Critical</t>
        </is>
      </c>
      <c r="G12" t="inlineStr">
        <is>
          <t>Preparing surfaces for paint</t>
        </is>
      </c>
    </row>
    <row r="13">
      <c r="A13" t="inlineStr">
        <is>
          <t>SK021</t>
        </is>
      </c>
      <c r="B13" t="inlineStr">
        <is>
          <t>Filler Application</t>
        </is>
      </c>
      <c r="C13" t="inlineStr">
        <is>
          <t>Painting</t>
        </is>
      </c>
      <c r="D13" t="inlineStr">
        <is>
          <t>Technical</t>
        </is>
      </c>
      <c r="E13" t="n">
        <v>3</v>
      </c>
      <c r="F13" t="inlineStr">
        <is>
          <t>High</t>
        </is>
      </c>
      <c r="G13" t="inlineStr">
        <is>
          <t>Applying wood filler</t>
        </is>
      </c>
    </row>
    <row r="14">
      <c r="A14" t="inlineStr">
        <is>
          <t>SK022</t>
        </is>
      </c>
      <c r="B14" t="inlineStr">
        <is>
          <t>Spray Painting</t>
        </is>
      </c>
      <c r="C14" t="inlineStr">
        <is>
          <t>Painting</t>
        </is>
      </c>
      <c r="D14" t="inlineStr">
        <is>
          <t>Core</t>
        </is>
      </c>
      <c r="E14" t="n">
        <v>5</v>
      </c>
      <c r="F14" t="inlineStr">
        <is>
          <t>Critical</t>
        </is>
      </c>
      <c r="G14" t="inlineStr">
        <is>
          <t>Professional spray application</t>
        </is>
      </c>
    </row>
    <row r="15">
      <c r="A15" t="inlineStr">
        <is>
          <t>SK023</t>
        </is>
      </c>
      <c r="B15" t="inlineStr">
        <is>
          <t>Polishing</t>
        </is>
      </c>
      <c r="C15" t="inlineStr">
        <is>
          <t>Painting</t>
        </is>
      </c>
      <c r="D15" t="inlineStr">
        <is>
          <t>Technical</t>
        </is>
      </c>
      <c r="E15" t="n">
        <v>3</v>
      </c>
      <c r="F15" t="inlineStr">
        <is>
          <t>High</t>
        </is>
      </c>
      <c r="G15" t="inlineStr">
        <is>
          <t>Final polishing &amp; buffing</t>
        </is>
      </c>
    </row>
    <row r="16">
      <c r="A16" t="inlineStr">
        <is>
          <t>SK024</t>
        </is>
      </c>
      <c r="B16" t="inlineStr">
        <is>
          <t>Quality Inspection</t>
        </is>
      </c>
      <c r="C16" t="inlineStr">
        <is>
          <t>Painting</t>
        </is>
      </c>
      <c r="D16" t="inlineStr">
        <is>
          <t>Core</t>
        </is>
      </c>
      <c r="E16" t="n">
        <v>4</v>
      </c>
      <c r="F16" t="inlineStr">
        <is>
          <t>Critical</t>
        </is>
      </c>
      <c r="G16" t="inlineStr">
        <is>
          <t>Quality control &amp; testing</t>
        </is>
      </c>
    </row>
    <row r="17">
      <c r="A17" t="inlineStr">
        <is>
          <t>SK030</t>
        </is>
      </c>
      <c r="B17" t="inlineStr">
        <is>
          <t>Wood Assembly</t>
        </is>
      </c>
      <c r="C17" t="inlineStr">
        <is>
          <t>Assembly</t>
        </is>
      </c>
      <c r="D17" t="inlineStr">
        <is>
          <t>Core</t>
        </is>
      </c>
      <c r="E17" t="n">
        <v>4</v>
      </c>
      <c r="F17" t="inlineStr">
        <is>
          <t>Critical</t>
        </is>
      </c>
      <c r="G17" t="inlineStr">
        <is>
          <t>Assembling wooden components</t>
        </is>
      </c>
    </row>
    <row r="18">
      <c r="A18" t="inlineStr">
        <is>
          <t>SK031</t>
        </is>
      </c>
      <c r="B18" t="inlineStr">
        <is>
          <t>Gluing</t>
        </is>
      </c>
      <c r="C18" t="inlineStr">
        <is>
          <t>Assembly</t>
        </is>
      </c>
      <c r="D18" t="inlineStr">
        <is>
          <t>Technical</t>
        </is>
      </c>
      <c r="E18" t="n">
        <v>3</v>
      </c>
      <c r="F18" t="inlineStr">
        <is>
          <t>High</t>
        </is>
      </c>
      <c r="G18" t="inlineStr">
        <is>
          <t>Applying adhesives properly</t>
        </is>
      </c>
    </row>
    <row r="19">
      <c r="A19" t="inlineStr">
        <is>
          <t>SK032</t>
        </is>
      </c>
      <c r="B19" t="inlineStr">
        <is>
          <t>Pressing</t>
        </is>
      </c>
      <c r="C19" t="inlineStr">
        <is>
          <t>Assembly</t>
        </is>
      </c>
      <c r="D19" t="inlineStr">
        <is>
          <t>Technical</t>
        </is>
      </c>
      <c r="E19" t="n">
        <v>3</v>
      </c>
      <c r="F19" t="inlineStr">
        <is>
          <t>High</t>
        </is>
      </c>
      <c r="G19" t="inlineStr">
        <is>
          <t>Using assembly presses</t>
        </is>
      </c>
    </row>
    <row r="20">
      <c r="A20" t="inlineStr">
        <is>
          <t>SK040</t>
        </is>
      </c>
      <c r="B20" t="inlineStr">
        <is>
          <t>CNC Cutting</t>
        </is>
      </c>
      <c r="C20" t="inlineStr">
        <is>
          <t>Flat Surfaces</t>
        </is>
      </c>
      <c r="D20" t="inlineStr">
        <is>
          <t>Technical</t>
        </is>
      </c>
      <c r="E20" t="n">
        <v>5</v>
      </c>
      <c r="F20" t="inlineStr">
        <is>
          <t>Critical</t>
        </is>
      </c>
      <c r="G20" t="inlineStr">
        <is>
          <t>Operating CNC cutting machines</t>
        </is>
      </c>
    </row>
    <row r="21">
      <c r="A21" t="inlineStr">
        <is>
          <t>SK041</t>
        </is>
      </c>
      <c r="B21" t="inlineStr">
        <is>
          <t>CNC Drilling</t>
        </is>
      </c>
      <c r="C21" t="inlineStr">
        <is>
          <t>Flat Surfaces</t>
        </is>
      </c>
      <c r="D21" t="inlineStr">
        <is>
          <t>Technical</t>
        </is>
      </c>
      <c r="E21" t="n">
        <v>4</v>
      </c>
      <c r="F21" t="inlineStr">
        <is>
          <t>Critical</t>
        </is>
      </c>
      <c r="G21" t="inlineStr">
        <is>
          <t>CNC drilling operations</t>
        </is>
      </c>
    </row>
    <row r="22">
      <c r="A22" t="inlineStr">
        <is>
          <t>SK042</t>
        </is>
      </c>
      <c r="B22" t="inlineStr">
        <is>
          <t>Edge Banding</t>
        </is>
      </c>
      <c r="C22" t="inlineStr">
        <is>
          <t>Flat Surfaces</t>
        </is>
      </c>
      <c r="D22" t="inlineStr">
        <is>
          <t>Technical</t>
        </is>
      </c>
      <c r="E22" t="n">
        <v>3</v>
      </c>
      <c r="F22" t="inlineStr">
        <is>
          <t>High</t>
        </is>
      </c>
      <c r="G22" t="inlineStr">
        <is>
          <t>Applying edge banding material</t>
        </is>
      </c>
    </row>
    <row r="23">
      <c r="A23" t="inlineStr">
        <is>
          <t>SK043</t>
        </is>
      </c>
      <c r="B23" t="inlineStr">
        <is>
          <t>Router Work</t>
        </is>
      </c>
      <c r="C23" t="inlineStr">
        <is>
          <t>Flat Surfaces</t>
        </is>
      </c>
      <c r="D23" t="inlineStr">
        <is>
          <t>Technical</t>
        </is>
      </c>
      <c r="E23" t="n">
        <v>4</v>
      </c>
      <c r="F23" t="inlineStr">
        <is>
          <t>Critical</t>
        </is>
      </c>
      <c r="G23" t="inlineStr">
        <is>
          <t>Manual routing operations</t>
        </is>
      </c>
    </row>
    <row r="26">
      <c r="A26" s="7" t="inlineStr">
        <is>
          <t>Enhanced by</t>
        </is>
      </c>
      <c r="B26" s="8" t="inlineStr">
        <is>
          <t>yasserious.com</t>
        </is>
      </c>
    </row>
  </sheetData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ED7AA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3" t="inlineStr">
        <is>
          <t>Emp ID</t>
        </is>
      </c>
      <c r="B1" s="13" t="inlineStr">
        <is>
          <t>Full Name</t>
        </is>
      </c>
      <c r="C1" s="13" t="inlineStr">
        <is>
          <t>Department</t>
        </is>
      </c>
      <c r="D1" s="13" t="inlineStr">
        <is>
          <t>Job Title</t>
        </is>
      </c>
      <c r="E1" s="13" t="inlineStr">
        <is>
          <t>Joined</t>
        </is>
      </c>
      <c r="F1" s="13" t="inlineStr">
        <is>
          <t>Age</t>
        </is>
      </c>
      <c r="G1" s="13" t="inlineStr">
        <is>
          <t>Class</t>
        </is>
      </c>
      <c r="H1" s="13" t="inlineStr">
        <is>
          <t>Email</t>
        </is>
      </c>
      <c r="I1" s="13" t="inlineStr">
        <is>
          <t>Status</t>
        </is>
      </c>
    </row>
    <row r="2">
      <c r="A2" t="inlineStr">
        <is>
          <t>EMP001</t>
        </is>
      </c>
      <c r="B2" t="inlineStr">
        <is>
          <t>أحمد عبد الرحمن محمد</t>
        </is>
      </c>
      <c r="C2" t="inlineStr">
        <is>
          <t>Upholstery</t>
        </is>
      </c>
      <c r="D2" t="inlineStr">
        <is>
          <t>Supervisor</t>
        </is>
      </c>
      <c r="E2" t="inlineStr">
        <is>
          <t>2015-03-20</t>
        </is>
      </c>
      <c r="F2" t="n">
        <v>42</v>
      </c>
      <c r="G2" t="inlineStr">
        <is>
          <t>A</t>
        </is>
      </c>
      <c r="H2" t="inlineStr">
        <is>
          <t>ahmad@ebdaa.com</t>
        </is>
      </c>
      <c r="I2" t="inlineStr">
        <is>
          <t>Active</t>
        </is>
      </c>
    </row>
    <row r="3">
      <c r="A3" t="inlineStr">
        <is>
          <t>EMP002</t>
        </is>
      </c>
      <c r="B3" t="inlineStr">
        <is>
          <t>محمد شوكت فرج إبراهيم</t>
        </is>
      </c>
      <c r="C3" t="inlineStr">
        <is>
          <t>Upholstery</t>
        </is>
      </c>
      <c r="D3" t="inlineStr">
        <is>
          <t>Technician</t>
        </is>
      </c>
      <c r="E3" t="inlineStr">
        <is>
          <t>2018-06-15</t>
        </is>
      </c>
      <c r="F3" t="n">
        <v>35</v>
      </c>
      <c r="G3" t="inlineStr">
        <is>
          <t>B</t>
        </is>
      </c>
      <c r="H3" t="inlineStr">
        <is>
          <t>mohammad@ebdaa.com</t>
        </is>
      </c>
      <c r="I3" t="inlineStr">
        <is>
          <t>Active</t>
        </is>
      </c>
    </row>
    <row r="4">
      <c r="A4" t="inlineStr">
        <is>
          <t>EMP003</t>
        </is>
      </c>
      <c r="B4" t="inlineStr">
        <is>
          <t>مصطفى عادل أحمد مصطفى</t>
        </is>
      </c>
      <c r="C4" t="inlineStr">
        <is>
          <t>Upholstery</t>
        </is>
      </c>
      <c r="D4" t="inlineStr">
        <is>
          <t>Technician</t>
        </is>
      </c>
      <c r="E4" t="inlineStr">
        <is>
          <t>2017-04-10</t>
        </is>
      </c>
      <c r="F4" t="n">
        <v>38</v>
      </c>
      <c r="G4" t="inlineStr">
        <is>
          <t>B</t>
        </is>
      </c>
      <c r="H4" t="inlineStr">
        <is>
          <t>mustafa@ebdaa.com</t>
        </is>
      </c>
      <c r="I4" t="inlineStr">
        <is>
          <t>Active</t>
        </is>
      </c>
    </row>
    <row r="5">
      <c r="A5" t="inlineStr">
        <is>
          <t>EMP004</t>
        </is>
      </c>
      <c r="B5" t="inlineStr">
        <is>
          <t>سعيد عبد اللطيف عبد العزيز</t>
        </is>
      </c>
      <c r="C5" t="inlineStr">
        <is>
          <t>Natural Wood</t>
        </is>
      </c>
      <c r="D5" t="inlineStr">
        <is>
          <t>Technician</t>
        </is>
      </c>
      <c r="E5" t="inlineStr">
        <is>
          <t>2019-01-15</t>
        </is>
      </c>
      <c r="F5" t="n">
        <v>40</v>
      </c>
      <c r="G5" t="inlineStr">
        <is>
          <t>B</t>
        </is>
      </c>
      <c r="H5" t="inlineStr">
        <is>
          <t>saeed@ebdaa.com</t>
        </is>
      </c>
      <c r="I5" t="inlineStr">
        <is>
          <t>Active</t>
        </is>
      </c>
    </row>
    <row r="6">
      <c r="A6" t="inlineStr">
        <is>
          <t>EMP005</t>
        </is>
      </c>
      <c r="B6" t="inlineStr">
        <is>
          <t>هانى احمد محارب</t>
        </is>
      </c>
      <c r="C6" t="inlineStr">
        <is>
          <t>Natural Wood</t>
        </is>
      </c>
      <c r="D6" t="inlineStr">
        <is>
          <t>Specialist</t>
        </is>
      </c>
      <c r="E6" t="inlineStr">
        <is>
          <t>2016-08-22</t>
        </is>
      </c>
      <c r="F6" t="n">
        <v>45</v>
      </c>
      <c r="G6" t="inlineStr">
        <is>
          <t>A</t>
        </is>
      </c>
      <c r="H6" t="inlineStr">
        <is>
          <t>hany@ebdaa.com</t>
        </is>
      </c>
      <c r="I6" t="inlineStr">
        <is>
          <t>Active</t>
        </is>
      </c>
    </row>
    <row r="7">
      <c r="A7" t="inlineStr">
        <is>
          <t>EMP006</t>
        </is>
      </c>
      <c r="B7" t="inlineStr">
        <is>
          <t>محمد السيد محمد خلف الله</t>
        </is>
      </c>
      <c r="C7" t="inlineStr">
        <is>
          <t>Natural Wood</t>
        </is>
      </c>
      <c r="D7" t="inlineStr">
        <is>
          <t>Technician</t>
        </is>
      </c>
      <c r="E7" t="inlineStr">
        <is>
          <t>2018-11-05</t>
        </is>
      </c>
      <c r="F7" t="n">
        <v>38</v>
      </c>
      <c r="G7" t="inlineStr">
        <is>
          <t>B</t>
        </is>
      </c>
      <c r="H7" t="inlineStr">
        <is>
          <t>salem@ebdaa.com</t>
        </is>
      </c>
      <c r="I7" t="inlineStr">
        <is>
          <t>Active</t>
        </is>
      </c>
    </row>
    <row r="8">
      <c r="A8" t="inlineStr">
        <is>
          <t>EMP007</t>
        </is>
      </c>
      <c r="B8" t="inlineStr">
        <is>
          <t>محمد جمال فيصل عبدالله</t>
        </is>
      </c>
      <c r="C8" t="inlineStr">
        <is>
          <t>Painting</t>
        </is>
      </c>
      <c r="D8" t="inlineStr">
        <is>
          <t>Supervisor</t>
        </is>
      </c>
      <c r="E8" t="inlineStr">
        <is>
          <t>2014-09-01</t>
        </is>
      </c>
      <c r="F8" t="n">
        <v>48</v>
      </c>
      <c r="G8" t="inlineStr">
        <is>
          <t>A</t>
        </is>
      </c>
      <c r="H8" t="inlineStr">
        <is>
          <t>gamal@ebdaa.com</t>
        </is>
      </c>
      <c r="I8" t="inlineStr">
        <is>
          <t>Active</t>
        </is>
      </c>
    </row>
    <row r="9">
      <c r="A9" t="inlineStr">
        <is>
          <t>EMP008</t>
        </is>
      </c>
      <c r="B9" t="inlineStr">
        <is>
          <t>مصطفى عبده عبد الصادق</t>
        </is>
      </c>
      <c r="C9" t="inlineStr">
        <is>
          <t>Painting</t>
        </is>
      </c>
      <c r="D9" t="inlineStr">
        <is>
          <t>Technician</t>
        </is>
      </c>
      <c r="E9" t="inlineStr">
        <is>
          <t>2017-03-12</t>
        </is>
      </c>
      <c r="F9" t="n">
        <v>40</v>
      </c>
      <c r="G9" t="inlineStr">
        <is>
          <t>B</t>
        </is>
      </c>
      <c r="H9" t="inlineStr">
        <is>
          <t>mustafap@ebdaa.com</t>
        </is>
      </c>
      <c r="I9" t="inlineStr">
        <is>
          <t>Active</t>
        </is>
      </c>
    </row>
    <row r="10">
      <c r="A10" t="inlineStr">
        <is>
          <t>EMP009</t>
        </is>
      </c>
      <c r="B10" t="inlineStr">
        <is>
          <t>إبراهيم عبد الفتاح سيد</t>
        </is>
      </c>
      <c r="C10" t="inlineStr">
        <is>
          <t>Engineering</t>
        </is>
      </c>
      <c r="D10" t="inlineStr">
        <is>
          <t>Engineer</t>
        </is>
      </c>
      <c r="E10" t="inlineStr">
        <is>
          <t>2019-07-10</t>
        </is>
      </c>
      <c r="F10" t="n">
        <v>35</v>
      </c>
      <c r="G10" t="inlineStr">
        <is>
          <t>B</t>
        </is>
      </c>
      <c r="H10" t="inlineStr">
        <is>
          <t>ibrahim@ebdaa.com</t>
        </is>
      </c>
      <c r="I10" t="inlineStr">
        <is>
          <t>Active</t>
        </is>
      </c>
    </row>
    <row r="11">
      <c r="A11" t="inlineStr">
        <is>
          <t>EMP010</t>
        </is>
      </c>
      <c r="B11" t="inlineStr">
        <is>
          <t>ياسر حسام الإسلام أنور</t>
        </is>
      </c>
      <c r="C11" t="inlineStr">
        <is>
          <t>Engineering</t>
        </is>
      </c>
      <c r="D11" t="inlineStr">
        <is>
          <t>Senior Engineer</t>
        </is>
      </c>
      <c r="E11" t="inlineStr">
        <is>
          <t>2018-05-20</t>
        </is>
      </c>
      <c r="F11" t="n">
        <v>38</v>
      </c>
      <c r="G11" t="inlineStr">
        <is>
          <t>A</t>
        </is>
      </c>
      <c r="H11" t="inlineStr">
        <is>
          <t>yasir@ebdaa.com</t>
        </is>
      </c>
      <c r="I11" t="inlineStr">
        <is>
          <t>Active</t>
        </is>
      </c>
    </row>
    <row r="12">
      <c r="A12" t="inlineStr">
        <is>
          <t>EMP011</t>
        </is>
      </c>
      <c r="B12" t="inlineStr">
        <is>
          <t>احمد مشوادى حسين</t>
        </is>
      </c>
      <c r="C12" t="inlineStr">
        <is>
          <t>Assembly</t>
        </is>
      </c>
      <c r="D12" t="inlineStr">
        <is>
          <t>Technician</t>
        </is>
      </c>
      <c r="E12" t="inlineStr">
        <is>
          <t>2020-02-14</t>
        </is>
      </c>
      <c r="F12" t="n">
        <v>32</v>
      </c>
      <c r="G12" t="inlineStr">
        <is>
          <t>C</t>
        </is>
      </c>
      <c r="H12" t="inlineStr">
        <is>
          <t>ahmed.ash@ebdaa.com</t>
        </is>
      </c>
      <c r="I12" t="inlineStr">
        <is>
          <t>Active</t>
        </is>
      </c>
    </row>
    <row r="13">
      <c r="A13" t="inlineStr">
        <is>
          <t>EMP012</t>
        </is>
      </c>
      <c r="B13" t="inlineStr">
        <is>
          <t>ابراهيم صابر ابراهيم</t>
        </is>
      </c>
      <c r="C13" t="inlineStr">
        <is>
          <t>Assembly</t>
        </is>
      </c>
      <c r="D13" t="inlineStr">
        <is>
          <t>Technician</t>
        </is>
      </c>
      <c r="E13" t="inlineStr">
        <is>
          <t>2020-03-01</t>
        </is>
      </c>
      <c r="F13" t="n">
        <v>36</v>
      </c>
      <c r="G13" t="inlineStr">
        <is>
          <t>B</t>
        </is>
      </c>
      <c r="H13" t="inlineStr">
        <is>
          <t>ibrahim.s@ebdaa.com</t>
        </is>
      </c>
      <c r="I13" t="inlineStr">
        <is>
          <t>Active</t>
        </is>
      </c>
    </row>
    <row r="14">
      <c r="A14" t="inlineStr">
        <is>
          <t>EMP013</t>
        </is>
      </c>
      <c r="B14" t="inlineStr">
        <is>
          <t>احمد محمد شاكر فضل</t>
        </is>
      </c>
      <c r="C14" t="inlineStr">
        <is>
          <t>Flat Surfaces</t>
        </is>
      </c>
      <c r="D14" t="inlineStr">
        <is>
          <t>Technician</t>
        </is>
      </c>
      <c r="E14" t="inlineStr">
        <is>
          <t>2020-09-06</t>
        </is>
      </c>
      <c r="F14" t="n">
        <v>28</v>
      </c>
      <c r="G14" t="inlineStr">
        <is>
          <t>C</t>
        </is>
      </c>
      <c r="H14" t="inlineStr">
        <is>
          <t>ahmed.dril@ebdaa.com</t>
        </is>
      </c>
      <c r="I14" t="inlineStr">
        <is>
          <t>Active</t>
        </is>
      </c>
    </row>
    <row r="15">
      <c r="A15" t="inlineStr">
        <is>
          <t>EMP014</t>
        </is>
      </c>
      <c r="B15" t="inlineStr">
        <is>
          <t>حسين محمد محمد احمد</t>
        </is>
      </c>
      <c r="C15" t="inlineStr">
        <is>
          <t>Production Mgmt</t>
        </is>
      </c>
      <c r="D15" t="inlineStr">
        <is>
          <t>Supervisor</t>
        </is>
      </c>
      <c r="E15" t="inlineStr">
        <is>
          <t>2019-01-15</t>
        </is>
      </c>
      <c r="F15" t="n">
        <v>42</v>
      </c>
      <c r="G15" t="inlineStr">
        <is>
          <t>B</t>
        </is>
      </c>
      <c r="H15" t="inlineStr">
        <is>
          <t>hussein@ebdaa.com</t>
        </is>
      </c>
      <c r="I15" t="inlineStr">
        <is>
          <t>Active</t>
        </is>
      </c>
    </row>
    <row r="18">
      <c r="A18" s="7" t="inlineStr">
        <is>
          <t>Enhanced by</t>
        </is>
      </c>
      <c r="B18" s="8" t="inlineStr">
        <is>
          <t>yasserious.com</t>
        </is>
      </c>
    </row>
  </sheetData>
  <hyperlinks>
    <hyperlink xmlns:r="http://schemas.openxmlformats.org/officeDocument/2006/relationships" ref="B18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BEAFE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4" t="inlineStr">
        <is>
          <t>Campaign ID</t>
        </is>
      </c>
      <c r="B1" s="14" t="inlineStr">
        <is>
          <t>Title</t>
        </is>
      </c>
      <c r="C1" s="14" t="inlineStr">
        <is>
          <t>Type</t>
        </is>
      </c>
      <c r="D1" s="14" t="inlineStr">
        <is>
          <t>Department</t>
        </is>
      </c>
      <c r="E1" s="14" t="inlineStr">
        <is>
          <t>Status</t>
        </is>
      </c>
      <c r="F1" s="14" t="inlineStr">
        <is>
          <t>Start Date</t>
        </is>
      </c>
      <c r="G1" s="14" t="inlineStr">
        <is>
          <t>End Date</t>
        </is>
      </c>
      <c r="H1" s="14" t="inlineStr">
        <is>
          <t>Created By</t>
        </is>
      </c>
    </row>
    <row r="2">
      <c r="A2" t="inlineStr">
        <is>
          <t>CAMP001</t>
        </is>
      </c>
      <c r="B2" t="inlineStr">
        <is>
          <t>Q1 2024 Evaluation</t>
        </is>
      </c>
      <c r="C2" t="inlineStr">
        <is>
          <t>Quarterly</t>
        </is>
      </c>
      <c r="D2" t="inlineStr">
        <is>
          <t>All</t>
        </is>
      </c>
      <c r="E2" t="inlineStr">
        <is>
          <t>Completed</t>
        </is>
      </c>
      <c r="F2" t="inlineStr">
        <is>
          <t>2024-01-01</t>
        </is>
      </c>
      <c r="G2" t="inlineStr">
        <is>
          <t>2024-03-31</t>
        </is>
      </c>
      <c r="H2" t="inlineStr">
        <is>
          <t>HR Manager</t>
        </is>
      </c>
    </row>
    <row r="3">
      <c r="A3" t="inlineStr">
        <is>
          <t>CAMP002</t>
        </is>
      </c>
      <c r="B3" t="inlineStr">
        <is>
          <t>Q2 2024 Evaluation</t>
        </is>
      </c>
      <c r="C3" t="inlineStr">
        <is>
          <t>Quarterly</t>
        </is>
      </c>
      <c r="D3" t="inlineStr">
        <is>
          <t>All</t>
        </is>
      </c>
      <c r="E3" t="inlineStr">
        <is>
          <t>Active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HR Manager</t>
        </is>
      </c>
    </row>
    <row r="4">
      <c r="A4" t="inlineStr">
        <is>
          <t>CAMP003</t>
        </is>
      </c>
      <c r="B4" t="inlineStr">
        <is>
          <t>May 2024 Review</t>
        </is>
      </c>
      <c r="C4" t="inlineStr">
        <is>
          <t>Monthly</t>
        </is>
      </c>
      <c r="D4" t="inlineStr">
        <is>
          <t>Upholstery</t>
        </is>
      </c>
      <c r="E4" t="inlineStr">
        <is>
          <t>Active</t>
        </is>
      </c>
      <c r="F4" t="inlineStr">
        <is>
          <t>2024-05-01</t>
        </is>
      </c>
      <c r="G4" t="inlineStr">
        <is>
          <t>2024-05-31</t>
        </is>
      </c>
      <c r="H4" t="inlineStr">
        <is>
          <t>Dept Head</t>
        </is>
      </c>
    </row>
    <row r="5">
      <c r="A5" t="inlineStr">
        <is>
          <t>CAMP004</t>
        </is>
      </c>
      <c r="B5" t="inlineStr">
        <is>
          <t>H1 2024 Review</t>
        </is>
      </c>
      <c r="C5" t="inlineStr">
        <is>
          <t>Bi-Annually</t>
        </is>
      </c>
      <c r="D5" t="inlineStr">
        <is>
          <t>All</t>
        </is>
      </c>
      <c r="E5" t="inlineStr">
        <is>
          <t>Planning</t>
        </is>
      </c>
      <c r="F5" t="inlineStr">
        <is>
          <t>2024-01-01</t>
        </is>
      </c>
      <c r="G5" t="inlineStr">
        <is>
          <t>2024-06-30</t>
        </is>
      </c>
      <c r="H5" t="inlineStr">
        <is>
          <t>Director</t>
        </is>
      </c>
    </row>
    <row r="8">
      <c r="A8" s="7" t="inlineStr">
        <is>
          <t>Enhanced by</t>
        </is>
      </c>
      <c r="B8" s="8" t="inlineStr">
        <is>
          <t>yasserious.com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7D2FE"/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5" customHeight="1">
      <c r="A1" s="15" t="inlineStr">
        <is>
          <t>UPHOLSTERY DEPARTMENT - Q2 2024 EVALUATION</t>
        </is>
      </c>
    </row>
    <row r="2">
      <c r="A2" s="16" t="inlineStr">
        <is>
          <t>Campaign: CAMP002 | Period: Apr-Jun 2024 | Manager: Salma Mohamed</t>
        </is>
      </c>
    </row>
    <row r="4">
      <c r="A4" s="12" t="inlineStr">
        <is>
          <t>Employee</t>
        </is>
      </c>
      <c r="B4" s="12" t="inlineStr">
        <is>
          <t>SK001
Assembly
(W:4)</t>
        </is>
      </c>
      <c r="C4" s="12" t="inlineStr">
        <is>
          <t>SK002
Seam Work
(W:4)</t>
        </is>
      </c>
      <c r="D4" s="12" t="inlineStr">
        <is>
          <t>SK003
Sewing M.
(W:3)</t>
        </is>
      </c>
      <c r="E4" s="12" t="inlineStr">
        <is>
          <t>SK004
Spring
(W:3)</t>
        </is>
      </c>
      <c r="F4" s="12" t="inlineStr">
        <is>
          <t>SK005
Finishing
(W:4)</t>
        </is>
      </c>
      <c r="G4" s="12" t="inlineStr">
        <is>
          <t>SK006
Shimmer
(W:2)</t>
        </is>
      </c>
      <c r="H4" s="12" t="inlineStr">
        <is>
          <t>Total
Score</t>
        </is>
      </c>
      <c r="I4" s="12" t="inlineStr">
        <is>
          <t>Max
Score</t>
        </is>
      </c>
      <c r="J4" s="12" t="inlineStr">
        <is>
          <t>Percent
%</t>
        </is>
      </c>
      <c r="K4" s="12" t="inlineStr">
        <is>
          <t>Class</t>
        </is>
      </c>
      <c r="L4" s="12" t="inlineStr">
        <is>
          <t>Recommendation</t>
        </is>
      </c>
    </row>
    <row r="5">
      <c r="A5" t="inlineStr">
        <is>
          <t>EMP001</t>
        </is>
      </c>
      <c r="B5" s="17" t="n">
        <v>4</v>
      </c>
      <c r="C5" s="17" t="n">
        <v>4</v>
      </c>
      <c r="D5" s="18" t="n">
        <v>3</v>
      </c>
      <c r="E5" s="17" t="n">
        <v>4</v>
      </c>
      <c r="F5" s="17" t="n">
        <v>4</v>
      </c>
      <c r="G5" s="17" t="n">
        <v>4</v>
      </c>
      <c r="H5" s="19">
        <f>B5*4+C5*4+D5*3+E5*3+F5*4+G5*2</f>
        <v/>
      </c>
      <c r="I5" s="19">
        <f>4*4+4*4+3*3+3*3+4*4+2*2</f>
        <v/>
      </c>
      <c r="J5" s="20">
        <f>IF(I5=0,0,ROUND(H5/I5*100,1))</f>
        <v/>
      </c>
      <c r="K5" s="21">
        <f>IF(J5&gt;=85,"A",IF(J5&gt;=60,"B","C"))</f>
        <v/>
      </c>
      <c r="L5" s="22">
        <f>IF(K5="A","⭐ Promotion Ready",IF(K5="B","📚 Training Needed","🚨 Intensive Training"))</f>
        <v/>
      </c>
    </row>
    <row r="6">
      <c r="A6" t="inlineStr">
        <is>
          <t>EMP002</t>
        </is>
      </c>
      <c r="B6" s="23" t="n">
        <v>2</v>
      </c>
      <c r="C6" s="24" t="n">
        <v>1</v>
      </c>
      <c r="D6" s="25" t="n">
        <v>0</v>
      </c>
      <c r="E6" s="18" t="n">
        <v>3</v>
      </c>
      <c r="F6" s="23" t="n">
        <v>2</v>
      </c>
      <c r="G6" s="24" t="n">
        <v>1</v>
      </c>
      <c r="H6" s="19">
        <f>B6*4+C6*4+D6*3+E6*3+F6*4+G6*2</f>
        <v/>
      </c>
      <c r="I6" s="19">
        <f>4*4+4*4+3*3+3*3+4*4+2*2</f>
        <v/>
      </c>
      <c r="J6" s="20">
        <f>IF(I6=0,0,ROUND(H6/I6*100,1))</f>
        <v/>
      </c>
      <c r="K6" s="21">
        <f>IF(J6&gt;=85,"A",IF(J6&gt;=60,"B","C"))</f>
        <v/>
      </c>
      <c r="L6" s="22">
        <f>IF(K6="A","⭐ Promotion Ready",IF(K6="B","📚 Training Needed","🚨 Intensive Training"))</f>
        <v/>
      </c>
    </row>
    <row r="7">
      <c r="A7" t="inlineStr">
        <is>
          <t>EMP003</t>
        </is>
      </c>
      <c r="B7" s="23" t="n">
        <v>2</v>
      </c>
      <c r="C7" s="23" t="n">
        <v>2</v>
      </c>
      <c r="D7" s="23" t="n">
        <v>2</v>
      </c>
      <c r="E7" s="23" t="n">
        <v>2</v>
      </c>
      <c r="F7" s="23" t="n">
        <v>2</v>
      </c>
      <c r="G7" s="23" t="n">
        <v>2</v>
      </c>
      <c r="H7" s="19">
        <f>B7*4+C7*4+D7*3+E7*3+F7*4+G7*2</f>
        <v/>
      </c>
      <c r="I7" s="19">
        <f>4*4+4*4+3*3+3*3+4*4+2*2</f>
        <v/>
      </c>
      <c r="J7" s="20">
        <f>IF(I7=0,0,ROUND(H7/I7*100,1))</f>
        <v/>
      </c>
      <c r="K7" s="21">
        <f>IF(J7&gt;=85,"A",IF(J7&gt;=60,"B","C"))</f>
        <v/>
      </c>
      <c r="L7" s="22">
        <f>IF(K7="A","⭐ Promotion Ready",IF(K7="B","📚 Training Needed","🚨 Intensive Training"))</f>
        <v/>
      </c>
    </row>
    <row r="10">
      <c r="A10" s="7" t="inlineStr">
        <is>
          <t>Enhanced by</t>
        </is>
      </c>
      <c r="B10" s="8" t="inlineStr">
        <is>
          <t>yasserious.com</t>
        </is>
      </c>
    </row>
  </sheetData>
  <mergeCells count="2">
    <mergeCell ref="A2:L2"/>
    <mergeCell ref="A1:L1"/>
  </mergeCell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BCFE8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6" t="inlineStr">
        <is>
          <t>PAINTING DEPARTMENT - EVALUATION FORM</t>
        </is>
      </c>
    </row>
    <row r="2">
      <c r="A2" s="16" t="inlineStr">
        <is>
          <t>Campaign: [INSERT] | Period: [INSERT] | Manager: Omar Hassan</t>
        </is>
      </c>
    </row>
    <row r="4">
      <c r="A4" s="27" t="inlineStr">
        <is>
          <t>Employee</t>
        </is>
      </c>
      <c r="B4" s="27" t="inlineStr">
        <is>
          <t>SK020
Sanding
(W:4)</t>
        </is>
      </c>
      <c r="C4" s="27" t="inlineStr">
        <is>
          <t>SK021
Filler
(W:3)</t>
        </is>
      </c>
      <c r="D4" s="27" t="inlineStr">
        <is>
          <t>SK022
Spray
(W:5)</t>
        </is>
      </c>
      <c r="E4" s="27" t="inlineStr">
        <is>
          <t>SK023
Polish
(W:3)</t>
        </is>
      </c>
      <c r="F4" s="27" t="inlineStr">
        <is>
          <t>SK024
QA
(W:4)</t>
        </is>
      </c>
      <c r="G4" s="27" t="inlineStr">
        <is>
          <t>Total</t>
        </is>
      </c>
      <c r="H4" s="27" t="inlineStr">
        <is>
          <t>Max</t>
        </is>
      </c>
      <c r="I4" s="27" t="inlineStr">
        <is>
          <t>%</t>
        </is>
      </c>
      <c r="J4" s="27" t="inlineStr">
        <is>
          <t>Class</t>
        </is>
      </c>
    </row>
    <row r="5">
      <c r="A5" t="inlineStr"/>
      <c r="B5" t="inlineStr"/>
      <c r="C5" t="inlineStr"/>
      <c r="D5" t="inlineStr"/>
      <c r="E5" t="inlineStr"/>
      <c r="G5">
        <f>B5*4+C5*3+D5*5+E5*3+F5*4</f>
        <v/>
      </c>
      <c r="H5">
        <f>4*4+3*3+5*5+3*3+4*4</f>
        <v/>
      </c>
      <c r="I5">
        <f>IF(H5=0,0,ROUND(G5/H5*100,1))</f>
        <v/>
      </c>
      <c r="J5">
        <f>IF(I5&gt;=85,"A",IF(I5&gt;=60,"B","C"))</f>
        <v/>
      </c>
    </row>
    <row r="6">
      <c r="A6" t="inlineStr"/>
      <c r="B6" t="inlineStr"/>
      <c r="C6" t="inlineStr"/>
      <c r="D6" t="inlineStr"/>
      <c r="E6" t="inlineStr"/>
      <c r="G6">
        <f>B6*4+C6*3+D6*5+E6*3+F6*4</f>
        <v/>
      </c>
      <c r="H6">
        <f>4*4+3*3+5*5+3*3+4*4</f>
        <v/>
      </c>
      <c r="I6">
        <f>IF(H6=0,0,ROUND(G6/H6*100,1))</f>
        <v/>
      </c>
      <c r="J6">
        <f>IF(I6&gt;=85,"A",IF(I6&gt;=60,"B","C"))</f>
        <v/>
      </c>
    </row>
    <row r="7">
      <c r="A7" t="inlineStr"/>
      <c r="B7" t="inlineStr"/>
      <c r="C7" t="inlineStr"/>
      <c r="D7" t="inlineStr"/>
      <c r="E7" t="inlineStr"/>
      <c r="G7">
        <f>B7*4+C7*3+D7*5+E7*3+F7*4</f>
        <v/>
      </c>
      <c r="H7">
        <f>4*4+3*3+5*5+3*3+4*4</f>
        <v/>
      </c>
      <c r="I7">
        <f>IF(H7=0,0,ROUND(G7/H7*100,1))</f>
        <v/>
      </c>
      <c r="J7">
        <f>IF(I7&gt;=85,"A",IF(I7&gt;=60,"B","C"))</f>
        <v/>
      </c>
    </row>
    <row r="8">
      <c r="A8" t="inlineStr"/>
      <c r="B8" t="inlineStr"/>
      <c r="C8" t="inlineStr"/>
      <c r="D8" t="inlineStr"/>
      <c r="E8" t="inlineStr"/>
      <c r="G8">
        <f>B8*4+C8*3+D8*5+E8*3+F8*4</f>
        <v/>
      </c>
      <c r="H8">
        <f>4*4+3*3+5*5+3*3+4*4</f>
        <v/>
      </c>
      <c r="I8">
        <f>IF(H8=0,0,ROUND(G8/H8*100,1))</f>
        <v/>
      </c>
      <c r="J8">
        <f>IF(I8&gt;=85,"A",IF(I8&gt;=60,"B","C"))</f>
        <v/>
      </c>
    </row>
    <row r="9">
      <c r="A9" t="inlineStr"/>
      <c r="B9" t="inlineStr"/>
      <c r="C9" t="inlineStr"/>
      <c r="D9" t="inlineStr"/>
      <c r="E9" t="inlineStr"/>
      <c r="G9">
        <f>B9*4+C9*3+D9*5+E9*3+F9*4</f>
        <v/>
      </c>
      <c r="H9">
        <f>4*4+3*3+5*5+3*3+4*4</f>
        <v/>
      </c>
      <c r="I9">
        <f>IF(H9=0,0,ROUND(G9/H9*100,1))</f>
        <v/>
      </c>
      <c r="J9">
        <f>IF(I9&gt;=85,"A",IF(I9&gt;=60,"B","C"))</f>
        <v/>
      </c>
    </row>
    <row r="10">
      <c r="A10" t="inlineStr"/>
      <c r="B10" t="inlineStr"/>
      <c r="C10" t="inlineStr"/>
      <c r="D10" t="inlineStr"/>
      <c r="E10" t="inlineStr"/>
      <c r="G10">
        <f>B10*4+C10*3+D10*5+E10*3+F10*4</f>
        <v/>
      </c>
      <c r="H10">
        <f>4*4+3*3+5*5+3*3+4*4</f>
        <v/>
      </c>
      <c r="I10">
        <f>IF(H10=0,0,ROUND(G10/H10*100,1))</f>
        <v/>
      </c>
      <c r="J10">
        <f>IF(I10&gt;=85,"A",IF(I10&gt;=60,"B","C"))</f>
        <v/>
      </c>
    </row>
    <row r="11">
      <c r="A11" t="inlineStr"/>
      <c r="B11" t="inlineStr"/>
      <c r="C11" t="inlineStr"/>
      <c r="D11" t="inlineStr"/>
      <c r="E11" t="inlineStr"/>
      <c r="G11">
        <f>B11*4+C11*3+D11*5+E11*3+F11*4</f>
        <v/>
      </c>
      <c r="H11">
        <f>4*4+3*3+5*5+3*3+4*4</f>
        <v/>
      </c>
      <c r="I11">
        <f>IF(H11=0,0,ROUND(G11/H11*100,1))</f>
        <v/>
      </c>
      <c r="J11">
        <f>IF(I11&gt;=85,"A",IF(I11&gt;=60,"B","C"))</f>
        <v/>
      </c>
    </row>
    <row r="12">
      <c r="A12" t="inlineStr"/>
      <c r="B12" t="inlineStr"/>
      <c r="C12" t="inlineStr"/>
      <c r="D12" t="inlineStr"/>
      <c r="E12" t="inlineStr"/>
      <c r="G12">
        <f>B12*4+C12*3+D12*5+E12*3+F12*4</f>
        <v/>
      </c>
      <c r="H12">
        <f>4*4+3*3+5*5+3*3+4*4</f>
        <v/>
      </c>
      <c r="I12">
        <f>IF(H12=0,0,ROUND(G12/H12*100,1))</f>
        <v/>
      </c>
      <c r="J12">
        <f>IF(I12&gt;=85,"A",IF(I12&gt;=60,"B","C"))</f>
        <v/>
      </c>
    </row>
    <row r="13">
      <c r="A13" t="inlineStr"/>
      <c r="B13" t="inlineStr"/>
      <c r="C13" t="inlineStr"/>
      <c r="D13" t="inlineStr"/>
      <c r="E13" t="inlineStr"/>
      <c r="G13">
        <f>B13*4+C13*3+D13*5+E13*3+F13*4</f>
        <v/>
      </c>
      <c r="H13">
        <f>4*4+3*3+5*5+3*3+4*4</f>
        <v/>
      </c>
      <c r="I13">
        <f>IF(H13=0,0,ROUND(G13/H13*100,1))</f>
        <v/>
      </c>
      <c r="J13">
        <f>IF(I13&gt;=85,"A",IF(I13&gt;=60,"B","C"))</f>
        <v/>
      </c>
    </row>
    <row r="14">
      <c r="A14" t="inlineStr"/>
      <c r="B14" t="inlineStr"/>
      <c r="C14" t="inlineStr"/>
      <c r="D14" t="inlineStr"/>
      <c r="E14" t="inlineStr"/>
      <c r="G14">
        <f>B14*4+C14*3+D14*5+E14*3+F14*4</f>
        <v/>
      </c>
      <c r="H14">
        <f>4*4+3*3+5*5+3*3+4*4</f>
        <v/>
      </c>
      <c r="I14">
        <f>IF(H14=0,0,ROUND(G14/H14*100,1))</f>
        <v/>
      </c>
      <c r="J14">
        <f>IF(I14&gt;=85,"A",IF(I14&gt;=60,"B","C"))</f>
        <v/>
      </c>
    </row>
    <row r="17">
      <c r="A17" s="7" t="inlineStr">
        <is>
          <t>Enhanced by</t>
        </is>
      </c>
      <c r="B17" s="8" t="inlineStr">
        <is>
          <t>yasserious.com</t>
        </is>
      </c>
    </row>
  </sheetData>
  <mergeCells count="2">
    <mergeCell ref="A1:J1"/>
    <mergeCell ref="A2:J2"/>
  </mergeCells>
  <hyperlinks>
    <hyperlink xmlns:r="http://schemas.openxmlformats.org/officeDocument/2006/relationships" ref="B17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EE2E2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8" t="inlineStr">
        <is>
          <t>NATURAL WOOD DEPARTMENT - EVALUATION FORM</t>
        </is>
      </c>
    </row>
    <row r="2">
      <c r="A2" s="16" t="inlineStr">
        <is>
          <t>Campaign: [INSERT] | Period: [INSERT] | Manager: Khaled Yousef</t>
        </is>
      </c>
    </row>
    <row r="4">
      <c r="A4" s="29" t="inlineStr">
        <is>
          <t>Employee</t>
        </is>
      </c>
      <c r="B4" s="29" t="inlineStr">
        <is>
          <t>SK010
Veneer
(W:4)</t>
        </is>
      </c>
      <c r="C4" s="29" t="inlineStr">
        <is>
          <t>SK011
Wheel Sand
(W:4)</t>
        </is>
      </c>
      <c r="D4" s="29" t="inlineStr">
        <is>
          <t>SK012
Manual Sand
(W:3)</t>
        </is>
      </c>
      <c r="E4" s="29" t="inlineStr">
        <is>
          <t>SK013
Press
(W:3)</t>
        </is>
      </c>
      <c r="F4" s="29" t="inlineStr">
        <is>
          <t>Total</t>
        </is>
      </c>
      <c r="G4" s="29" t="inlineStr">
        <is>
          <t>Max</t>
        </is>
      </c>
      <c r="H4" s="29" t="inlineStr">
        <is>
          <t>%</t>
        </is>
      </c>
      <c r="I4" s="29" t="inlineStr">
        <is>
          <t>Class</t>
        </is>
      </c>
      <c r="J4" s="29" t="inlineStr">
        <is>
          <t>Recommendation</t>
        </is>
      </c>
    </row>
    <row r="5">
      <c r="A5" t="inlineStr"/>
      <c r="B5" t="inlineStr"/>
      <c r="C5" t="inlineStr"/>
      <c r="D5" t="inlineStr"/>
      <c r="E5" t="inlineStr"/>
      <c r="F5">
        <f>B5*4+C5*4+D5*3+E5*3</f>
        <v/>
      </c>
      <c r="G5">
        <f>4*4+4*4+3*3+3*3</f>
        <v/>
      </c>
      <c r="H5">
        <f>IF(G5=0,0,ROUND(F5/G5*100,1))</f>
        <v/>
      </c>
      <c r="I5">
        <f>IF(H5&gt;=85,"A",IF(H5&gt;=60,"B","C"))</f>
        <v/>
      </c>
      <c r="J5">
        <f>IF(I5="A","Promote",IF(I5="B","Train","Intensive"))</f>
        <v/>
      </c>
    </row>
    <row r="6">
      <c r="A6" t="inlineStr"/>
      <c r="B6" t="inlineStr"/>
      <c r="C6" t="inlineStr"/>
      <c r="D6" t="inlineStr"/>
      <c r="E6" t="inlineStr"/>
      <c r="F6">
        <f>B6*4+C6*4+D6*3+E6*3</f>
        <v/>
      </c>
      <c r="G6">
        <f>4*4+4*4+3*3+3*3</f>
        <v/>
      </c>
      <c r="H6">
        <f>IF(G6=0,0,ROUND(F6/G6*100,1))</f>
        <v/>
      </c>
      <c r="I6">
        <f>IF(H6&gt;=85,"A",IF(H6&gt;=60,"B","C"))</f>
        <v/>
      </c>
      <c r="J6">
        <f>IF(I6="A","Promote",IF(I6="B","Train","Intensive"))</f>
        <v/>
      </c>
    </row>
    <row r="7">
      <c r="A7" t="inlineStr"/>
      <c r="B7" t="inlineStr"/>
      <c r="C7" t="inlineStr"/>
      <c r="D7" t="inlineStr"/>
      <c r="E7" t="inlineStr"/>
      <c r="F7">
        <f>B7*4+C7*4+D7*3+E7*3</f>
        <v/>
      </c>
      <c r="G7">
        <f>4*4+4*4+3*3+3*3</f>
        <v/>
      </c>
      <c r="H7">
        <f>IF(G7=0,0,ROUND(F7/G7*100,1))</f>
        <v/>
      </c>
      <c r="I7">
        <f>IF(H7&gt;=85,"A",IF(H7&gt;=60,"B","C"))</f>
        <v/>
      </c>
      <c r="J7">
        <f>IF(I7="A","Promote",IF(I7="B","Train","Intensive"))</f>
        <v/>
      </c>
    </row>
    <row r="8">
      <c r="A8" t="inlineStr"/>
      <c r="B8" t="inlineStr"/>
      <c r="C8" t="inlineStr"/>
      <c r="D8" t="inlineStr"/>
      <c r="E8" t="inlineStr"/>
      <c r="F8">
        <f>B8*4+C8*4+D8*3+E8*3</f>
        <v/>
      </c>
      <c r="G8">
        <f>4*4+4*4+3*3+3*3</f>
        <v/>
      </c>
      <c r="H8">
        <f>IF(G8=0,0,ROUND(F8/G8*100,1))</f>
        <v/>
      </c>
      <c r="I8">
        <f>IF(H8&gt;=85,"A",IF(H8&gt;=60,"B","C"))</f>
        <v/>
      </c>
      <c r="J8">
        <f>IF(I8="A","Promote",IF(I8="B","Train","Intensive"))</f>
        <v/>
      </c>
    </row>
    <row r="9">
      <c r="A9" t="inlineStr"/>
      <c r="B9" t="inlineStr"/>
      <c r="C9" t="inlineStr"/>
      <c r="D9" t="inlineStr"/>
      <c r="E9" t="inlineStr"/>
      <c r="F9">
        <f>B9*4+C9*4+D9*3+E9*3</f>
        <v/>
      </c>
      <c r="G9">
        <f>4*4+4*4+3*3+3*3</f>
        <v/>
      </c>
      <c r="H9">
        <f>IF(G9=0,0,ROUND(F9/G9*100,1))</f>
        <v/>
      </c>
      <c r="I9">
        <f>IF(H9&gt;=85,"A",IF(H9&gt;=60,"B","C"))</f>
        <v/>
      </c>
      <c r="J9">
        <f>IF(I9="A","Promote",IF(I9="B","Train","Intensive"))</f>
        <v/>
      </c>
    </row>
    <row r="10">
      <c r="A10" t="inlineStr"/>
      <c r="B10" t="inlineStr"/>
      <c r="C10" t="inlineStr"/>
      <c r="D10" t="inlineStr"/>
      <c r="E10" t="inlineStr"/>
      <c r="F10">
        <f>B10*4+C10*4+D10*3+E10*3</f>
        <v/>
      </c>
      <c r="G10">
        <f>4*4+4*4+3*3+3*3</f>
        <v/>
      </c>
      <c r="H10">
        <f>IF(G10=0,0,ROUND(F10/G10*100,1))</f>
        <v/>
      </c>
      <c r="I10">
        <f>IF(H10&gt;=85,"A",IF(H10&gt;=60,"B","C"))</f>
        <v/>
      </c>
      <c r="J10">
        <f>IF(I10="A","Promote",IF(I10="B","Train","Intensive"))</f>
        <v/>
      </c>
    </row>
    <row r="11">
      <c r="A11" t="inlineStr"/>
      <c r="B11" t="inlineStr"/>
      <c r="C11" t="inlineStr"/>
      <c r="D11" t="inlineStr"/>
      <c r="E11" t="inlineStr"/>
      <c r="F11">
        <f>B11*4+C11*4+D11*3+E11*3</f>
        <v/>
      </c>
      <c r="G11">
        <f>4*4+4*4+3*3+3*3</f>
        <v/>
      </c>
      <c r="H11">
        <f>IF(G11=0,0,ROUND(F11/G11*100,1))</f>
        <v/>
      </c>
      <c r="I11">
        <f>IF(H11&gt;=85,"A",IF(H11&gt;=60,"B","C"))</f>
        <v/>
      </c>
      <c r="J11">
        <f>IF(I11="A","Promote",IF(I11="B","Train","Intensive"))</f>
        <v/>
      </c>
    </row>
    <row r="12">
      <c r="A12" t="inlineStr"/>
      <c r="B12" t="inlineStr"/>
      <c r="C12" t="inlineStr"/>
      <c r="D12" t="inlineStr"/>
      <c r="E12" t="inlineStr"/>
      <c r="F12">
        <f>B12*4+C12*4+D12*3+E12*3</f>
        <v/>
      </c>
      <c r="G12">
        <f>4*4+4*4+3*3+3*3</f>
        <v/>
      </c>
      <c r="H12">
        <f>IF(G12=0,0,ROUND(F12/G12*100,1))</f>
        <v/>
      </c>
      <c r="I12">
        <f>IF(H12&gt;=85,"A",IF(H12&gt;=60,"B","C"))</f>
        <v/>
      </c>
      <c r="J12">
        <f>IF(I12="A","Promote",IF(I12="B","Train","Intensive"))</f>
        <v/>
      </c>
    </row>
    <row r="13">
      <c r="A13" t="inlineStr"/>
      <c r="B13" t="inlineStr"/>
      <c r="C13" t="inlineStr"/>
      <c r="D13" t="inlineStr"/>
      <c r="E13" t="inlineStr"/>
      <c r="F13">
        <f>B13*4+C13*4+D13*3+E13*3</f>
        <v/>
      </c>
      <c r="G13">
        <f>4*4+4*4+3*3+3*3</f>
        <v/>
      </c>
      <c r="H13">
        <f>IF(G13=0,0,ROUND(F13/G13*100,1))</f>
        <v/>
      </c>
      <c r="I13">
        <f>IF(H13&gt;=85,"A",IF(H13&gt;=60,"B","C"))</f>
        <v/>
      </c>
      <c r="J13">
        <f>IF(I13="A","Promote",IF(I13="B","Train","Intensive"))</f>
        <v/>
      </c>
    </row>
    <row r="14">
      <c r="A14" t="inlineStr"/>
      <c r="B14" t="inlineStr"/>
      <c r="C14" t="inlineStr"/>
      <c r="D14" t="inlineStr"/>
      <c r="E14" t="inlineStr"/>
      <c r="F14">
        <f>B14*4+C14*4+D14*3+E14*3</f>
        <v/>
      </c>
      <c r="G14">
        <f>4*4+4*4+3*3+3*3</f>
        <v/>
      </c>
      <c r="H14">
        <f>IF(G14=0,0,ROUND(F14/G14*100,1))</f>
        <v/>
      </c>
      <c r="I14">
        <f>IF(H14&gt;=85,"A",IF(H14&gt;=60,"B","C"))</f>
        <v/>
      </c>
      <c r="J14">
        <f>IF(I14="A","Promote",IF(I14="B","Train","Intensive"))</f>
        <v/>
      </c>
    </row>
    <row r="15">
      <c r="A15" t="inlineStr"/>
      <c r="B15" t="inlineStr"/>
      <c r="C15" t="inlineStr"/>
      <c r="D15" t="inlineStr"/>
      <c r="E15" t="inlineStr"/>
      <c r="F15">
        <f>B15*4+C15*4+D15*3+E15*3</f>
        <v/>
      </c>
      <c r="G15">
        <f>4*4+4*4+3*3+3*3</f>
        <v/>
      </c>
      <c r="H15">
        <f>IF(G15=0,0,ROUND(F15/G15*100,1))</f>
        <v/>
      </c>
      <c r="I15">
        <f>IF(H15&gt;=85,"A",IF(H15&gt;=60,"B","C"))</f>
        <v/>
      </c>
      <c r="J15">
        <f>IF(I15="A","Promote",IF(I15="B","Train","Intensive"))</f>
        <v/>
      </c>
    </row>
    <row r="16">
      <c r="A16" t="inlineStr"/>
      <c r="B16" t="inlineStr"/>
      <c r="C16" t="inlineStr"/>
      <c r="D16" t="inlineStr"/>
      <c r="E16" t="inlineStr"/>
      <c r="F16">
        <f>B16*4+C16*4+D16*3+E16*3</f>
        <v/>
      </c>
      <c r="G16">
        <f>4*4+4*4+3*3+3*3</f>
        <v/>
      </c>
      <c r="H16">
        <f>IF(G16=0,0,ROUND(F16/G16*100,1))</f>
        <v/>
      </c>
      <c r="I16">
        <f>IF(H16&gt;=85,"A",IF(H16&gt;=60,"B","C"))</f>
        <v/>
      </c>
      <c r="J16">
        <f>IF(I16="A","Promote",IF(I16="B","Train","Intensive"))</f>
        <v/>
      </c>
    </row>
    <row r="17">
      <c r="A17" t="inlineStr"/>
      <c r="B17" t="inlineStr"/>
      <c r="C17" t="inlineStr"/>
      <c r="D17" t="inlineStr"/>
      <c r="E17" t="inlineStr"/>
      <c r="F17">
        <f>B17*4+C17*4+D17*3+E17*3</f>
        <v/>
      </c>
      <c r="G17">
        <f>4*4+4*4+3*3+3*3</f>
        <v/>
      </c>
      <c r="H17">
        <f>IF(G17=0,0,ROUND(F17/G17*100,1))</f>
        <v/>
      </c>
      <c r="I17">
        <f>IF(H17&gt;=85,"A",IF(H17&gt;=60,"B","C"))</f>
        <v/>
      </c>
      <c r="J17">
        <f>IF(I17="A","Promote",IF(I17="B","Train","Intensive"))</f>
        <v/>
      </c>
    </row>
    <row r="18">
      <c r="A18" t="inlineStr"/>
      <c r="B18" t="inlineStr"/>
      <c r="C18" t="inlineStr"/>
      <c r="D18" t="inlineStr"/>
      <c r="E18" t="inlineStr"/>
      <c r="F18">
        <f>B18*4+C18*4+D18*3+E18*3</f>
        <v/>
      </c>
      <c r="G18">
        <f>4*4+4*4+3*3+3*3</f>
        <v/>
      </c>
      <c r="H18">
        <f>IF(G18=0,0,ROUND(F18/G18*100,1))</f>
        <v/>
      </c>
      <c r="I18">
        <f>IF(H18&gt;=85,"A",IF(H18&gt;=60,"B","C"))</f>
        <v/>
      </c>
      <c r="J18">
        <f>IF(I18="A","Promote",IF(I18="B","Train","Intensive"))</f>
        <v/>
      </c>
    </row>
    <row r="19">
      <c r="A19" t="inlineStr"/>
      <c r="B19" t="inlineStr"/>
      <c r="C19" t="inlineStr"/>
      <c r="D19" t="inlineStr"/>
      <c r="E19" t="inlineStr"/>
      <c r="F19">
        <f>B19*4+C19*4+D19*3+E19*3</f>
        <v/>
      </c>
      <c r="G19">
        <f>4*4+4*4+3*3+3*3</f>
        <v/>
      </c>
      <c r="H19">
        <f>IF(G19=0,0,ROUND(F19/G19*100,1))</f>
        <v/>
      </c>
      <c r="I19">
        <f>IF(H19&gt;=85,"A",IF(H19&gt;=60,"B","C"))</f>
        <v/>
      </c>
      <c r="J19">
        <f>IF(I19="A","Promote",IF(I19="B","Train","Intensive"))</f>
        <v/>
      </c>
    </row>
    <row r="20">
      <c r="A20" t="inlineStr"/>
      <c r="B20" t="inlineStr"/>
      <c r="C20" t="inlineStr"/>
      <c r="D20" t="inlineStr"/>
      <c r="E20" t="inlineStr"/>
      <c r="F20">
        <f>B20*4+C20*4+D20*3+E20*3</f>
        <v/>
      </c>
      <c r="G20">
        <f>4*4+4*4+3*3+3*3</f>
        <v/>
      </c>
      <c r="H20">
        <f>IF(G20=0,0,ROUND(F20/G20*100,1))</f>
        <v/>
      </c>
      <c r="I20">
        <f>IF(H20&gt;=85,"A",IF(H20&gt;=60,"B","C"))</f>
        <v/>
      </c>
      <c r="J20">
        <f>IF(I20="A","Promote",IF(I20="B","Train","Intensive"))</f>
        <v/>
      </c>
    </row>
    <row r="21">
      <c r="A21" t="inlineStr"/>
      <c r="B21" t="inlineStr"/>
      <c r="C21" t="inlineStr"/>
      <c r="D21" t="inlineStr"/>
      <c r="E21" t="inlineStr"/>
      <c r="F21">
        <f>B21*4+C21*4+D21*3+E21*3</f>
        <v/>
      </c>
      <c r="G21">
        <f>4*4+4*4+3*3+3*3</f>
        <v/>
      </c>
      <c r="H21">
        <f>IF(G21=0,0,ROUND(F21/G21*100,1))</f>
        <v/>
      </c>
      <c r="I21">
        <f>IF(H21&gt;=85,"A",IF(H21&gt;=60,"B","C"))</f>
        <v/>
      </c>
      <c r="J21">
        <f>IF(I21="A","Promote",IF(I21="B","Train","Intensive"))</f>
        <v/>
      </c>
    </row>
    <row r="22">
      <c r="A22" t="inlineStr"/>
      <c r="B22" t="inlineStr"/>
      <c r="C22" t="inlineStr"/>
      <c r="D22" t="inlineStr"/>
      <c r="E22" t="inlineStr"/>
      <c r="F22">
        <f>B22*4+C22*4+D22*3+E22*3</f>
        <v/>
      </c>
      <c r="G22">
        <f>4*4+4*4+3*3+3*3</f>
        <v/>
      </c>
      <c r="H22">
        <f>IF(G22=0,0,ROUND(F22/G22*100,1))</f>
        <v/>
      </c>
      <c r="I22">
        <f>IF(H22&gt;=85,"A",IF(H22&gt;=60,"B","C"))</f>
        <v/>
      </c>
      <c r="J22">
        <f>IF(I22="A","Promote",IF(I22="B","Train","Intensive"))</f>
        <v/>
      </c>
    </row>
    <row r="23">
      <c r="A23" t="inlineStr"/>
      <c r="B23" t="inlineStr"/>
      <c r="C23" t="inlineStr"/>
      <c r="D23" t="inlineStr"/>
      <c r="E23" t="inlineStr"/>
      <c r="F23">
        <f>B23*4+C23*4+D23*3+E23*3</f>
        <v/>
      </c>
      <c r="G23">
        <f>4*4+4*4+3*3+3*3</f>
        <v/>
      </c>
      <c r="H23">
        <f>IF(G23=0,0,ROUND(F23/G23*100,1))</f>
        <v/>
      </c>
      <c r="I23">
        <f>IF(H23&gt;=85,"A",IF(H23&gt;=60,"B","C"))</f>
        <v/>
      </c>
      <c r="J23">
        <f>IF(I23="A","Promote",IF(I23="B","Train","Intensive"))</f>
        <v/>
      </c>
    </row>
    <row r="24">
      <c r="A24" t="inlineStr"/>
      <c r="B24" t="inlineStr"/>
      <c r="C24" t="inlineStr"/>
      <c r="D24" t="inlineStr"/>
      <c r="E24" t="inlineStr"/>
      <c r="F24">
        <f>B24*4+C24*4+D24*3+E24*3</f>
        <v/>
      </c>
      <c r="G24">
        <f>4*4+4*4+3*3+3*3</f>
        <v/>
      </c>
      <c r="H24">
        <f>IF(G24=0,0,ROUND(F24/G24*100,1))</f>
        <v/>
      </c>
      <c r="I24">
        <f>IF(H24&gt;=85,"A",IF(H24&gt;=60,"B","C"))</f>
        <v/>
      </c>
      <c r="J24">
        <f>IF(I24="A","Promote",IF(I24="B","Train","Intensive"))</f>
        <v/>
      </c>
    </row>
    <row r="27">
      <c r="A27" s="7" t="inlineStr">
        <is>
          <t>Enhanced by</t>
        </is>
      </c>
      <c r="B27" s="8" t="inlineStr">
        <is>
          <t>yasserious.com</t>
        </is>
      </c>
    </row>
  </sheetData>
  <mergeCells count="2">
    <mergeCell ref="A1:J1"/>
    <mergeCell ref="A2:J2"/>
  </mergeCells>
  <hyperlinks>
    <hyperlink xmlns:r="http://schemas.openxmlformats.org/officeDocument/2006/relationships" ref="B27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DD6FE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0" t="inlineStr">
        <is>
          <t>ASSEMBLY DEPARTMENT - EVALUATION FORM</t>
        </is>
      </c>
    </row>
    <row r="2">
      <c r="A2" s="16" t="inlineStr">
        <is>
          <t>Campaign: [INSERT] | Period: [INSERT] | Manager: Hassan Ibrahim</t>
        </is>
      </c>
    </row>
    <row r="4">
      <c r="A4" s="31" t="inlineStr">
        <is>
          <t>Employee</t>
        </is>
      </c>
      <c r="B4" s="31" t="inlineStr">
        <is>
          <t>SK030
Assembly
(W:4)</t>
        </is>
      </c>
      <c r="C4" s="31" t="inlineStr">
        <is>
          <t>SK031
Gluing
(W:3)</t>
        </is>
      </c>
      <c r="D4" s="31" t="inlineStr">
        <is>
          <t>SK032
Pressing
(W:3)</t>
        </is>
      </c>
      <c r="E4" s="31" t="inlineStr">
        <is>
          <t>Total</t>
        </is>
      </c>
      <c r="F4" s="31" t="inlineStr">
        <is>
          <t>Max</t>
        </is>
      </c>
      <c r="G4" s="31" t="inlineStr">
        <is>
          <t>%</t>
        </is>
      </c>
      <c r="H4" s="31" t="inlineStr">
        <is>
          <t>Class</t>
        </is>
      </c>
      <c r="I4" s="31" t="inlineStr">
        <is>
          <t>Notes</t>
        </is>
      </c>
    </row>
    <row r="5">
      <c r="E5">
        <f>B5*4+C5*3+D5*3</f>
        <v/>
      </c>
      <c r="F5">
        <f>4*4+3*3+3*3</f>
        <v/>
      </c>
      <c r="G5">
        <f>IF(F5=0,0,ROUND(E5/F5*100,1))</f>
        <v/>
      </c>
      <c r="H5">
        <f>IF(G5&gt;=85,"A",IF(G5&gt;=60,"B","C"))</f>
        <v/>
      </c>
    </row>
    <row r="6">
      <c r="E6">
        <f>B6*4+C6*3+D6*3</f>
        <v/>
      </c>
      <c r="F6">
        <f>4*4+3*3+3*3</f>
        <v/>
      </c>
      <c r="G6">
        <f>IF(F6=0,0,ROUND(E6/F6*100,1))</f>
        <v/>
      </c>
      <c r="H6">
        <f>IF(G6&gt;=85,"A",IF(G6&gt;=60,"B","C"))</f>
        <v/>
      </c>
    </row>
    <row r="7">
      <c r="E7">
        <f>B7*4+C7*3+D7*3</f>
        <v/>
      </c>
      <c r="F7">
        <f>4*4+3*3+3*3</f>
        <v/>
      </c>
      <c r="G7">
        <f>IF(F7=0,0,ROUND(E7/F7*100,1))</f>
        <v/>
      </c>
      <c r="H7">
        <f>IF(G7&gt;=85,"A",IF(G7&gt;=60,"B","C"))</f>
        <v/>
      </c>
    </row>
    <row r="8">
      <c r="E8">
        <f>B8*4+C8*3+D8*3</f>
        <v/>
      </c>
      <c r="F8">
        <f>4*4+3*3+3*3</f>
        <v/>
      </c>
      <c r="G8">
        <f>IF(F8=0,0,ROUND(E8/F8*100,1))</f>
        <v/>
      </c>
      <c r="H8">
        <f>IF(G8&gt;=85,"A",IF(G8&gt;=60,"B","C"))</f>
        <v/>
      </c>
    </row>
    <row r="9">
      <c r="E9">
        <f>B9*4+C9*3+D9*3</f>
        <v/>
      </c>
      <c r="F9">
        <f>4*4+3*3+3*3</f>
        <v/>
      </c>
      <c r="G9">
        <f>IF(F9=0,0,ROUND(E9/F9*100,1))</f>
        <v/>
      </c>
      <c r="H9">
        <f>IF(G9&gt;=85,"A",IF(G9&gt;=60,"B","C"))</f>
        <v/>
      </c>
    </row>
    <row r="10">
      <c r="E10">
        <f>B10*4+C10*3+D10*3</f>
        <v/>
      </c>
      <c r="F10">
        <f>4*4+3*3+3*3</f>
        <v/>
      </c>
      <c r="G10">
        <f>IF(F10=0,0,ROUND(E10/F10*100,1))</f>
        <v/>
      </c>
      <c r="H10">
        <f>IF(G10&gt;=85,"A",IF(G10&gt;=60,"B","C"))</f>
        <v/>
      </c>
    </row>
    <row r="11">
      <c r="E11">
        <f>B11*4+C11*3+D11*3</f>
        <v/>
      </c>
      <c r="F11">
        <f>4*4+3*3+3*3</f>
        <v/>
      </c>
      <c r="G11">
        <f>IF(F11=0,0,ROUND(E11/F11*100,1))</f>
        <v/>
      </c>
      <c r="H11">
        <f>IF(G11&gt;=85,"A",IF(G11&gt;=60,"B","C"))</f>
        <v/>
      </c>
    </row>
    <row r="12">
      <c r="E12">
        <f>B12*4+C12*3+D12*3</f>
        <v/>
      </c>
      <c r="F12">
        <f>4*4+3*3+3*3</f>
        <v/>
      </c>
      <c r="G12">
        <f>IF(F12=0,0,ROUND(E12/F12*100,1))</f>
        <v/>
      </c>
      <c r="H12">
        <f>IF(G12&gt;=85,"A",IF(G12&gt;=60,"B","C"))</f>
        <v/>
      </c>
    </row>
    <row r="13">
      <c r="E13">
        <f>B13*4+C13*3+D13*3</f>
        <v/>
      </c>
      <c r="F13">
        <f>4*4+3*3+3*3</f>
        <v/>
      </c>
      <c r="G13">
        <f>IF(F13=0,0,ROUND(E13/F13*100,1))</f>
        <v/>
      </c>
      <c r="H13">
        <f>IF(G13&gt;=85,"A",IF(G13&gt;=60,"B","C"))</f>
        <v/>
      </c>
    </row>
    <row r="14">
      <c r="E14">
        <f>B14*4+C14*3+D14*3</f>
        <v/>
      </c>
      <c r="F14">
        <f>4*4+3*3+3*3</f>
        <v/>
      </c>
      <c r="G14">
        <f>IF(F14=0,0,ROUND(E14/F14*100,1))</f>
        <v/>
      </c>
      <c r="H14">
        <f>IF(G14&gt;=85,"A",IF(G14&gt;=60,"B","C"))</f>
        <v/>
      </c>
    </row>
    <row r="15">
      <c r="E15">
        <f>B15*4+C15*3+D15*3</f>
        <v/>
      </c>
      <c r="F15">
        <f>4*4+3*3+3*3</f>
        <v/>
      </c>
      <c r="G15">
        <f>IF(F15=0,0,ROUND(E15/F15*100,1))</f>
        <v/>
      </c>
      <c r="H15">
        <f>IF(G15&gt;=85,"A",IF(G15&gt;=60,"B","C"))</f>
        <v/>
      </c>
    </row>
    <row r="16">
      <c r="E16">
        <f>B16*4+C16*3+D16*3</f>
        <v/>
      </c>
      <c r="F16">
        <f>4*4+3*3+3*3</f>
        <v/>
      </c>
      <c r="G16">
        <f>IF(F16=0,0,ROUND(E16/F16*100,1))</f>
        <v/>
      </c>
      <c r="H16">
        <f>IF(G16&gt;=85,"A",IF(G16&gt;=60,"B","C"))</f>
        <v/>
      </c>
    </row>
    <row r="17">
      <c r="E17">
        <f>B17*4+C17*3+D17*3</f>
        <v/>
      </c>
      <c r="F17">
        <f>4*4+3*3+3*3</f>
        <v/>
      </c>
      <c r="G17">
        <f>IF(F17=0,0,ROUND(E17/F17*100,1))</f>
        <v/>
      </c>
      <c r="H17">
        <f>IF(G17&gt;=85,"A",IF(G17&gt;=60,"B","C"))</f>
        <v/>
      </c>
    </row>
    <row r="18">
      <c r="E18">
        <f>B18*4+C18*3+D18*3</f>
        <v/>
      </c>
      <c r="F18">
        <f>4*4+3*3+3*3</f>
        <v/>
      </c>
      <c r="G18">
        <f>IF(F18=0,0,ROUND(E18/F18*100,1))</f>
        <v/>
      </c>
      <c r="H18">
        <f>IF(G18&gt;=85,"A",IF(G18&gt;=60,"B","C"))</f>
        <v/>
      </c>
    </row>
    <row r="19">
      <c r="E19">
        <f>B19*4+C19*3+D19*3</f>
        <v/>
      </c>
      <c r="F19">
        <f>4*4+3*3+3*3</f>
        <v/>
      </c>
      <c r="G19">
        <f>IF(F19=0,0,ROUND(E19/F19*100,1))</f>
        <v/>
      </c>
      <c r="H19">
        <f>IF(G19&gt;=85,"A",IF(G19&gt;=60,"B","C"))</f>
        <v/>
      </c>
    </row>
    <row r="22">
      <c r="A22" s="7" t="inlineStr">
        <is>
          <t>Enhanced by</t>
        </is>
      </c>
      <c r="B22" s="8" t="inlineStr">
        <is>
          <t>yasserious.com</t>
        </is>
      </c>
    </row>
  </sheetData>
  <mergeCells count="2">
    <mergeCell ref="A1:I1"/>
    <mergeCell ref="A2:I2"/>
  </mergeCells>
  <hyperlinks>
    <hyperlink xmlns:r="http://schemas.openxmlformats.org/officeDocument/2006/relationships" ref="B2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3E8FF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2" t="inlineStr">
        <is>
          <t>SCORING METHODOLOGY &amp; FORMULAS</t>
        </is>
      </c>
    </row>
    <row r="3">
      <c r="A3" s="33" t="inlineStr">
        <is>
          <t>📐 Step 1: WEIGHTED TOTAL SCORE</t>
        </is>
      </c>
    </row>
    <row r="4">
      <c r="A4" t="inlineStr">
        <is>
          <t>Formula:</t>
        </is>
      </c>
      <c r="B4" t="inlineStr">
        <is>
          <t>Sum of (Employee_Score × Skill_Weight) for all skills</t>
        </is>
      </c>
    </row>
    <row r="5">
      <c r="A5" t="inlineStr">
        <is>
          <t>Excel Formula:</t>
        </is>
      </c>
      <c r="B5">
        <f>B5*4+C5*4+D5*3+E5*3+F5*4+G5*2</f>
        <v/>
      </c>
    </row>
    <row r="6">
      <c r="A6" t="inlineStr">
        <is>
          <t>Example:</t>
        </is>
      </c>
      <c r="B6" t="inlineStr">
        <is>
          <t>(4×4) + (4×4) + (3×3) + (4×3) + (4×4) + (4×2) = 74 points</t>
        </is>
      </c>
    </row>
    <row r="8">
      <c r="A8" s="33" t="inlineStr">
        <is>
          <t>📐 Step 2: MAXIMUM POSSIBLE SCORE</t>
        </is>
      </c>
    </row>
    <row r="9">
      <c r="A9" t="inlineStr">
        <is>
          <t>Formula:</t>
        </is>
      </c>
      <c r="B9" t="inlineStr">
        <is>
          <t>Sum of (4 × Skill_Weight) for ALL skills</t>
        </is>
      </c>
    </row>
    <row r="10">
      <c r="A10" t="inlineStr">
        <is>
          <t>Excel Formula:</t>
        </is>
      </c>
      <c r="B10">
        <f>4*4+4*4+4*3+4*3+4*4+4*2</f>
        <v/>
      </c>
    </row>
    <row r="11">
      <c r="A11" t="inlineStr">
        <is>
          <t>Example:</t>
        </is>
      </c>
      <c r="B11" t="inlineStr">
        <is>
          <t>(4×4) + (4×4) + (4×3) + (4×3) + (4×4) + (4×2) = 80 points</t>
        </is>
      </c>
    </row>
    <row r="13">
      <c r="A13" s="33" t="inlineStr">
        <is>
          <t>📐 Step 3: PERCENTAGE SCORE</t>
        </is>
      </c>
    </row>
    <row r="14">
      <c r="A14" t="inlineStr">
        <is>
          <t>Formula:</t>
        </is>
      </c>
      <c r="B14" t="inlineStr">
        <is>
          <t>(Total Score ÷ Max Score) × 100</t>
        </is>
      </c>
    </row>
    <row r="15">
      <c r="A15" t="inlineStr">
        <is>
          <t>Excel Formula:</t>
        </is>
      </c>
      <c r="B15">
        <f>IF(I5=0,0,ROUND(H5/I5*100,1))</f>
        <v/>
      </c>
    </row>
    <row r="16">
      <c r="A16" t="inlineStr">
        <is>
          <t>Example:</t>
        </is>
      </c>
      <c r="B16" t="inlineStr">
        <is>
          <t>(74 ÷ 80) × 100 = 92.5%</t>
        </is>
      </c>
    </row>
    <row r="18">
      <c r="A18" s="33" t="inlineStr">
        <is>
          <t>📐 Step 4: CLASS ASSIGNMENT</t>
        </is>
      </c>
    </row>
    <row r="19">
      <c r="A19" t="inlineStr">
        <is>
          <t>Logic:</t>
        </is>
      </c>
      <c r="B19" t="inlineStr">
        <is>
          <t>IF Percentage ≥ 85% THEN Class A</t>
        </is>
      </c>
    </row>
    <row r="20">
      <c r="A20" t="inlineStr"/>
      <c r="B20" t="inlineStr">
        <is>
          <t>ELSE IF Percentage ≥ 60% THEN Class B</t>
        </is>
      </c>
    </row>
    <row r="21">
      <c r="A21" t="inlineStr"/>
      <c r="B21" t="inlineStr">
        <is>
          <t>ELSE Class C</t>
        </is>
      </c>
    </row>
    <row r="22">
      <c r="A22" t="inlineStr">
        <is>
          <t>Excel Formula:</t>
        </is>
      </c>
      <c r="B22">
        <f>IF(J5&gt;=85,"A",IF(J5&gt;=60,"B","C"))</f>
        <v/>
      </c>
    </row>
    <row r="24">
      <c r="A24" s="4" t="inlineStr">
        <is>
          <t>📊 PERFORMANCE CLASSES</t>
        </is>
      </c>
    </row>
    <row r="25">
      <c r="A25" s="34" t="inlineStr">
        <is>
          <t>Class A (85-100%)</t>
        </is>
      </c>
      <c r="B25" t="inlineStr">
        <is>
          <t>⭐ PROMOTION READY - Ready for advancement, can mentor others</t>
        </is>
      </c>
    </row>
    <row r="26">
      <c r="A26" s="35" t="inlineStr">
        <is>
          <t>Class B (60-79%)</t>
        </is>
      </c>
      <c r="B26" t="inlineStr">
        <is>
          <t>📚 TRAINING NEEDED - Core performer, needs targeted training</t>
        </is>
      </c>
    </row>
    <row r="27">
      <c r="A27" s="36" t="inlineStr">
        <is>
          <t>Class C (&lt;60%)</t>
        </is>
      </c>
      <c r="B27" t="inlineStr">
        <is>
          <t>🚨 INTENSIVE TRAINING - Significant gaps, needs support</t>
        </is>
      </c>
    </row>
    <row r="30">
      <c r="A30" s="7" t="inlineStr">
        <is>
          <t>Enhanced by</t>
        </is>
      </c>
      <c r="B30" s="8" t="inlineStr">
        <is>
          <t>yasserious.com</t>
        </is>
      </c>
    </row>
  </sheetData>
  <mergeCells count="1">
    <mergeCell ref="A1:E1"/>
  </mergeCells>
  <hyperlinks>
    <hyperlink xmlns:r="http://schemas.openxmlformats.org/officeDocument/2006/relationships" ref="B30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0FDF4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7" t="inlineStr">
        <is>
          <t>BLANK EVALUATION TEMPLATE - COPY &amp; MODIFY FOR NEW DEPARTMENTS</t>
        </is>
      </c>
    </row>
    <row r="3">
      <c r="A3" s="10" t="inlineStr">
        <is>
          <t>Instructions:</t>
        </is>
      </c>
    </row>
    <row r="4">
      <c r="A4" t="inlineStr">
        <is>
          <t>1. Right-click this sheet tab &amp; select 'Move/Copy'</t>
        </is>
      </c>
    </row>
    <row r="5">
      <c r="A5" t="inlineStr">
        <is>
          <t>2. Create a copy for your department</t>
        </is>
      </c>
    </row>
    <row r="6">
      <c r="A6" t="inlineStr">
        <is>
          <t>3. Replace [DEPARTMENT NAME] with actual name</t>
        </is>
      </c>
    </row>
    <row r="7">
      <c r="A7" t="inlineStr">
        <is>
          <t>4. Update skills (SK codes) based on Master - Skills Library</t>
        </is>
      </c>
    </row>
    <row r="8">
      <c r="A8" t="inlineStr">
        <is>
          <t>5. Update weights based on skill criticality</t>
        </is>
      </c>
    </row>
    <row r="9">
      <c r="A9" t="inlineStr">
        <is>
          <t>6. Fill in employee data &amp; formulas will auto-calculate</t>
        </is>
      </c>
    </row>
    <row r="11">
      <c r="A11" s="37" t="inlineStr">
        <is>
          <t>[DEPARTMENT NAME] - EVALUATION FORM</t>
        </is>
      </c>
    </row>
    <row r="12">
      <c r="A12" s="16" t="inlineStr">
        <is>
          <t>Campaign: [INSERT] | Period: [INSERT] | Manager: [INSERT NAME]</t>
        </is>
      </c>
    </row>
    <row r="14">
      <c r="A14" s="11" t="inlineStr">
        <is>
          <t>Employee</t>
        </is>
      </c>
      <c r="B14" s="11" t="inlineStr">
        <is>
          <t>[SK###]
[Skill 1]
(W:X)</t>
        </is>
      </c>
      <c r="C14" s="11" t="inlineStr">
        <is>
          <t>[SK###]
[Skill 2]
(W:X)</t>
        </is>
      </c>
      <c r="D14" s="11" t="inlineStr">
        <is>
          <t>[SK###]
[Skill 3]
(W:X)</t>
        </is>
      </c>
      <c r="E14" s="11" t="inlineStr">
        <is>
          <t>Total</t>
        </is>
      </c>
      <c r="F14" s="11" t="inlineStr">
        <is>
          <t>Max</t>
        </is>
      </c>
      <c r="G14" s="11" t="inlineStr">
        <is>
          <t>%</t>
        </is>
      </c>
      <c r="H14" s="11" t="inlineStr">
        <is>
          <t>Class</t>
        </is>
      </c>
    </row>
    <row r="15">
      <c r="A15" t="inlineStr">
        <is>
          <t>[Employee Code]</t>
        </is>
      </c>
      <c r="B15" t="inlineStr"/>
      <c r="C15" t="inlineStr"/>
      <c r="D15" t="inlineStr"/>
      <c r="E15">
        <f>B15*[W1]+C15*[W2]+D15*[W3]</f>
        <v/>
      </c>
      <c r="F15">
        <f>4*[W1]+4*[W2]+4*[W3]</f>
        <v/>
      </c>
      <c r="G15">
        <f>IF(F15=0,0,ROUND(E15/F15*100,1))</f>
        <v/>
      </c>
      <c r="H15">
        <f>IF(G15&gt;=85,"A",IF(G15&gt;=60,"B","C"))</f>
        <v/>
      </c>
    </row>
    <row r="18">
      <c r="A18" s="7" t="inlineStr">
        <is>
          <t>Enhanced by</t>
        </is>
      </c>
      <c r="B18" s="8" t="inlineStr">
        <is>
          <t>yasserious.com</t>
        </is>
      </c>
    </row>
  </sheetData>
  <mergeCells count="3">
    <mergeCell ref="A12:H12"/>
    <mergeCell ref="A11:H11"/>
    <mergeCell ref="A1:H1"/>
  </mergeCells>
  <hyperlinks>
    <hyperlink xmlns:r="http://schemas.openxmlformats.org/officeDocument/2006/relationships" ref="B1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2026-05-03T12:14:54Z</dcterms:created>
  <dcterms:modified xmlns:dcterms="http://purl.org/dc/terms/" xmlns:xsi="http://www.w3.org/2001/XMLSchema-instance" xsi:type="dcterms:W3CDTF">2026-05-03T12:14:54Z</dcterms:modified>
</cp:coreProperties>
</file>